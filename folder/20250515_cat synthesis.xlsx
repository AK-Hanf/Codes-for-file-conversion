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working group\Arjun\Alkoxycarbonylation\Paper\ACS\Data Management\"/>
    </mc:Choice>
  </mc:AlternateContent>
  <bookViews>
    <workbookView xWindow="-105" yWindow="-105" windowWidth="23250" windowHeight="12450" activeTab="1"/>
  </bookViews>
  <sheets>
    <sheet name="Catalysts general" sheetId="11" r:id="rId1"/>
    <sheet name="Catalysts precise" sheetId="7" r:id="rId2"/>
    <sheet name="explanation" sheetId="12" r:id="rId3"/>
    <sheet name="Relations Voc4Cat" sheetId="9" r:id="rId4"/>
  </sheets>
  <definedNames>
    <definedName name="Datenschnitt_Barcode21">#N/A</definedName>
    <definedName name="Datenschnitt_ID_Number21">#N/A</definedName>
    <definedName name="Datenschnitt_Support_voc4cat_0007825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5" i="11"/>
</calcChain>
</file>

<file path=xl/sharedStrings.xml><?xml version="1.0" encoding="utf-8"?>
<sst xmlns="http://schemas.openxmlformats.org/spreadsheetml/2006/main" count="324" uniqueCount="275">
  <si>
    <t>General Information</t>
  </si>
  <si>
    <t>Name</t>
  </si>
  <si>
    <t>Support</t>
  </si>
  <si>
    <t>Support Barcode</t>
  </si>
  <si>
    <t>Metal</t>
  </si>
  <si>
    <t>Metal loading, nominal (wt%)</t>
  </si>
  <si>
    <t>Molar ratio</t>
  </si>
  <si>
    <t>KIT</t>
  </si>
  <si>
    <t>Spalte1</t>
  </si>
  <si>
    <t>Spalte2</t>
  </si>
  <si>
    <t>Preparation method</t>
  </si>
  <si>
    <t>hybrid catalyst</t>
  </si>
  <si>
    <t>homogeneous catalyst</t>
  </si>
  <si>
    <t>heterogeneous catalyst</t>
  </si>
  <si>
    <t>institution</t>
  </si>
  <si>
    <t>catalyst type</t>
  </si>
  <si>
    <t>catalyst barcode</t>
  </si>
  <si>
    <t>Support Pretreatment</t>
  </si>
  <si>
    <t>Additive amount</t>
  </si>
  <si>
    <t>Milling</t>
  </si>
  <si>
    <t>pH adjustment</t>
  </si>
  <si>
    <t>Filtration</t>
  </si>
  <si>
    <t>Washing</t>
  </si>
  <si>
    <t>Impregnation</t>
  </si>
  <si>
    <t>sieving</t>
  </si>
  <si>
    <t>solvation</t>
  </si>
  <si>
    <t>Mixing</t>
  </si>
  <si>
    <t>device</t>
  </si>
  <si>
    <t>Solubility</t>
  </si>
  <si>
    <t>drying</t>
  </si>
  <si>
    <t>calcination</t>
  </si>
  <si>
    <t>pelleting</t>
  </si>
  <si>
    <t>Crystallisation</t>
  </si>
  <si>
    <t>Dilution</t>
  </si>
  <si>
    <t>Concept</t>
  </si>
  <si>
    <t>IRI</t>
  </si>
  <si>
    <t>voc4cat:0007842</t>
  </si>
  <si>
    <t>voc4cat:0007014</t>
  </si>
  <si>
    <t>voc4cat:0007016</t>
  </si>
  <si>
    <t xml:space="preserve">
voc4cat:0007825</t>
  </si>
  <si>
    <t>stirring speed</t>
  </si>
  <si>
    <t>synthesis duration</t>
  </si>
  <si>
    <t>Milling device</t>
  </si>
  <si>
    <t>Vessel volume</t>
  </si>
  <si>
    <t>Size and material</t>
  </si>
  <si>
    <t xml:space="preserve">milling speed </t>
  </si>
  <si>
    <t>milling duration</t>
  </si>
  <si>
    <t>Acid/base</t>
  </si>
  <si>
    <t>Target pH</t>
  </si>
  <si>
    <t>Temperature</t>
  </si>
  <si>
    <t>Filter type</t>
  </si>
  <si>
    <t>Solvent</t>
  </si>
  <si>
    <t>Repetitions</t>
  </si>
  <si>
    <t>Final concentration</t>
  </si>
  <si>
    <t>Chemical</t>
  </si>
  <si>
    <t xml:space="preserve">Name (imported from samples) </t>
  </si>
  <si>
    <t>Concentration</t>
  </si>
  <si>
    <t>Volume added</t>
  </si>
  <si>
    <t>temperature ramp</t>
  </si>
  <si>
    <t>Calcination Step</t>
  </si>
  <si>
    <t>Calcination gaseous environment</t>
  </si>
  <si>
    <t>Calcination gas flow rate</t>
  </si>
  <si>
    <t>Calcination initial temperature</t>
  </si>
  <si>
    <t xml:space="preserve">Calcination final temperature </t>
  </si>
  <si>
    <t>Calcination heating rate</t>
  </si>
  <si>
    <t>Calcination dwelling time</t>
  </si>
  <si>
    <t>Sieve fraction</t>
  </si>
  <si>
    <t>Pressure</t>
  </si>
  <si>
    <t>Stamp</t>
  </si>
  <si>
    <t>Pellet size</t>
  </si>
  <si>
    <t>Amount of additive</t>
  </si>
  <si>
    <t>co-precipitation</t>
  </si>
  <si>
    <t>wet impregnation</t>
  </si>
  <si>
    <t>incipient wetness impregnation</t>
  </si>
  <si>
    <t>flame spray pyrolysis</t>
  </si>
  <si>
    <t>dip coating</t>
  </si>
  <si>
    <t>classic synthesis</t>
  </si>
  <si>
    <t>solvothermal synthesis</t>
  </si>
  <si>
    <t>deposition-precipitation</t>
  </si>
  <si>
    <t>melting</t>
  </si>
  <si>
    <t>sol-gel</t>
  </si>
  <si>
    <t>grafting</t>
  </si>
  <si>
    <t>ion-exchange</t>
  </si>
  <si>
    <t>voc4cat:0007796</t>
  </si>
  <si>
    <t>voc4cat:0007795</t>
  </si>
  <si>
    <t>voc4cat:0007806</t>
  </si>
  <si>
    <t>voc4cat:0007031</t>
  </si>
  <si>
    <t>voc4cat:0007798</t>
  </si>
  <si>
    <t>only hydrothermal synthesis: voc4cat:0007029</t>
  </si>
  <si>
    <t>organometallic synthesis</t>
  </si>
  <si>
    <t>voc4cat:0007805</t>
  </si>
  <si>
    <t>voc4cat:0007804</t>
  </si>
  <si>
    <t>voc4cat:0007003</t>
  </si>
  <si>
    <t>additive: voc4cat:0007793</t>
  </si>
  <si>
    <t>precursor: voc4cat:0007794</t>
  </si>
  <si>
    <t>Additive</t>
  </si>
  <si>
    <t>voc4cat:0007815</t>
  </si>
  <si>
    <t>voc4cat:0007839</t>
  </si>
  <si>
    <t>stirring time</t>
  </si>
  <si>
    <t>voc4cat:0007823</t>
  </si>
  <si>
    <t>voc4cat:0007822</t>
  </si>
  <si>
    <t>mixing Temperature</t>
  </si>
  <si>
    <t>voc4cat:0007835</t>
  </si>
  <si>
    <t>voc4cat:0007831</t>
  </si>
  <si>
    <t>voc4cat:0007832</t>
  </si>
  <si>
    <t>voc4cat:0007833</t>
  </si>
  <si>
    <t>voc4cat:0000054</t>
  </si>
  <si>
    <t>voc4cat:0000055</t>
  </si>
  <si>
    <t>voc4cat:0000056</t>
  </si>
  <si>
    <t>voc4cat:0000057</t>
  </si>
  <si>
    <t>voc4cat:0000058</t>
  </si>
  <si>
    <t>voc4cat:0000059</t>
  </si>
  <si>
    <t>voc4cat:0000060</t>
  </si>
  <si>
    <t>voc4cat:0007022</t>
  </si>
  <si>
    <t>voc4cat:0007793</t>
  </si>
  <si>
    <t>voc4cat:0007840</t>
  </si>
  <si>
    <t>voc4cat:0007834</t>
  </si>
  <si>
    <t>voc4cat:0007830</t>
  </si>
  <si>
    <t>voc4cat:0007837</t>
  </si>
  <si>
    <t>voc4cat:0007801</t>
  </si>
  <si>
    <t>voc4cat:0007797</t>
  </si>
  <si>
    <t>voc4cat:0007028</t>
  </si>
  <si>
    <t>voc4cat:0007799</t>
  </si>
  <si>
    <t>voc4cat:0007030</t>
  </si>
  <si>
    <t>voc4cat:0007802</t>
  </si>
  <si>
    <t>voc4cat:0007836</t>
  </si>
  <si>
    <t>voc4cat:0000050</t>
  </si>
  <si>
    <t>voc4cat:0007244</t>
  </si>
  <si>
    <t>voc4cat:0007246</t>
  </si>
  <si>
    <t>Other vocabs</t>
  </si>
  <si>
    <t>AFO_/result#AFR:0001584</t>
  </si>
  <si>
    <t>barcode: AFO_/result#AFR:0002690</t>
  </si>
  <si>
    <t>OBI:0000968</t>
  </si>
  <si>
    <t>NCIT:C81268</t>
  </si>
  <si>
    <t>CC BY 4.0</t>
  </si>
  <si>
    <t>CC BY NC SA 2.0</t>
  </si>
  <si>
    <t>REPR:FilterType</t>
  </si>
  <si>
    <t>sample mass (used to be amount)</t>
  </si>
  <si>
    <t>Catalyst mass</t>
  </si>
  <si>
    <t>voc4cat:0007792</t>
  </si>
  <si>
    <t>voc4cat:0007038</t>
  </si>
  <si>
    <t>AFO_/result#AFR:0001918</t>
  </si>
  <si>
    <t>vessel volume</t>
  </si>
  <si>
    <t>target pH</t>
  </si>
  <si>
    <t>filter type</t>
  </si>
  <si>
    <t>solvent 1 volume</t>
  </si>
  <si>
    <t>solvent 2 volume</t>
  </si>
  <si>
    <t>repetitions</t>
  </si>
  <si>
    <t>final concentration</t>
  </si>
  <si>
    <t>impregnation
voc4cat:0007028</t>
  </si>
  <si>
    <t>solvation
voc4cat:0007840</t>
  </si>
  <si>
    <t>mixing
voc4cat:0007834</t>
  </si>
  <si>
    <t>milling
voc4cat:0007830</t>
  </si>
  <si>
    <t>pH adjustment
voc4cat:0007837</t>
  </si>
  <si>
    <t>crystallisation</t>
  </si>
  <si>
    <t>filtration
voc4cat:0007801</t>
  </si>
  <si>
    <t>washing</t>
  </si>
  <si>
    <t>dilution
voc4cat:0007797</t>
  </si>
  <si>
    <t>drying
voc4cat:0007799</t>
  </si>
  <si>
    <t>calcination
voc4cat:0007030</t>
  </si>
  <si>
    <t>sieving
voc4cat:0007802</t>
  </si>
  <si>
    <t>pelleting
voc4cat:0007836</t>
  </si>
  <si>
    <t>Support identifier</t>
  </si>
  <si>
    <t>size and material</t>
  </si>
  <si>
    <t>molar ratio metal metal</t>
  </si>
  <si>
    <t>Support shape</t>
  </si>
  <si>
    <r>
      <rPr>
        <b/>
        <sz val="11"/>
        <rFont val="Calibri"/>
        <family val="2"/>
        <scheme val="minor"/>
      </rPr>
      <t>institution</t>
    </r>
    <r>
      <rPr>
        <sz val="11"/>
        <rFont val="Calibri"/>
        <family val="2"/>
        <scheme val="minor"/>
      </rPr>
      <t xml:space="preserve">
voc4cat:0007842</t>
    </r>
  </si>
  <si>
    <r>
      <rPr>
        <b/>
        <sz val="11"/>
        <rFont val="Calibri"/>
        <family val="2"/>
        <scheme val="minor"/>
      </rPr>
      <t xml:space="preserve">catalyst barcode  </t>
    </r>
    <r>
      <rPr>
        <sz val="11"/>
        <rFont val="Calibri"/>
        <family val="2"/>
        <scheme val="minor"/>
      </rPr>
      <t xml:space="preserve">
(barcode: AFO_/result#AFR:0002690)</t>
    </r>
  </si>
  <si>
    <r>
      <rPr>
        <b/>
        <sz val="11"/>
        <rFont val="Calibri"/>
        <family val="2"/>
        <scheme val="minor"/>
      </rPr>
      <t>identifier</t>
    </r>
    <r>
      <rPr>
        <sz val="11"/>
        <rFont val="Calibri"/>
        <family val="2"/>
        <scheme val="minor"/>
      </rPr>
      <t xml:space="preserve">  
dct</t>
    </r>
  </si>
  <si>
    <r>
      <rPr>
        <b/>
        <sz val="11"/>
        <rFont val="Calibri"/>
        <family val="2"/>
        <scheme val="minor"/>
      </rPr>
      <t>catalyst</t>
    </r>
    <r>
      <rPr>
        <sz val="11"/>
        <rFont val="Calibri"/>
        <family val="2"/>
        <scheme val="minor"/>
      </rPr>
      <t xml:space="preserve">
voc4cat:0007014</t>
    </r>
  </si>
  <si>
    <r>
      <rPr>
        <b/>
        <sz val="11"/>
        <rFont val="Calibri"/>
        <family val="2"/>
        <scheme val="minor"/>
      </rPr>
      <t>Preparation method</t>
    </r>
    <r>
      <rPr>
        <sz val="11"/>
        <rFont val="Calibri"/>
        <family val="2"/>
        <scheme val="minor"/>
      </rPr>
      <t xml:space="preserve">
voc4cat:0007016</t>
    </r>
  </si>
  <si>
    <r>
      <rPr>
        <b/>
        <sz val="11"/>
        <rFont val="Calibri"/>
        <family val="2"/>
        <scheme val="minor"/>
      </rPr>
      <t>Support</t>
    </r>
    <r>
      <rPr>
        <sz val="11"/>
        <rFont val="Calibri"/>
        <family val="2"/>
        <scheme val="minor"/>
      </rPr>
      <t xml:space="preserve">  
voc4cat:0007825</t>
    </r>
  </si>
  <si>
    <r>
      <rPr>
        <b/>
        <sz val="11"/>
        <rFont val="Calibri"/>
        <family val="2"/>
        <scheme val="minor"/>
      </rPr>
      <t>Support Barcode</t>
    </r>
    <r>
      <rPr>
        <sz val="11"/>
        <rFont val="Calibri"/>
        <family val="2"/>
        <scheme val="minor"/>
      </rPr>
      <t xml:space="preserve">
(barcode: AFO_/result#AFR:0002690)</t>
    </r>
  </si>
  <si>
    <r>
      <rPr>
        <b/>
        <sz val="11"/>
        <rFont val="Calibri"/>
        <family val="2"/>
        <scheme val="minor"/>
      </rPr>
      <t>Support identifier</t>
    </r>
    <r>
      <rPr>
        <sz val="11"/>
        <rFont val="Calibri"/>
        <family val="2"/>
        <scheme val="minor"/>
      </rPr>
      <t xml:space="preserve">
dct</t>
    </r>
  </si>
  <si>
    <r>
      <rPr>
        <b/>
        <sz val="11"/>
        <rFont val="Calibri"/>
        <family val="2"/>
        <scheme val="minor"/>
      </rPr>
      <t>Support Pretreatment</t>
    </r>
    <r>
      <rPr>
        <sz val="11"/>
        <rFont val="Calibri"/>
        <family val="2"/>
        <scheme val="minor"/>
      </rPr>
      <t xml:space="preserve">
voc4cat:sample pretreatment voc4cat:0000123</t>
    </r>
  </si>
  <si>
    <r>
      <rPr>
        <b/>
        <sz val="11"/>
        <rFont val="Calibri"/>
        <family val="2"/>
        <scheme val="minor"/>
      </rPr>
      <t>Precursor 1</t>
    </r>
    <r>
      <rPr>
        <sz val="11"/>
        <rFont val="Calibri"/>
        <family val="2"/>
        <scheme val="minor"/>
      </rPr>
      <t xml:space="preserve"> 
precursor: voc4cat:0007794</t>
    </r>
  </si>
  <si>
    <r>
      <rPr>
        <b/>
        <sz val="11"/>
        <rFont val="Calibri"/>
        <family val="2"/>
        <scheme val="minor"/>
      </rPr>
      <t xml:space="preserve">Precursor 1 </t>
    </r>
    <r>
      <rPr>
        <sz val="11"/>
        <rFont val="Calibri"/>
        <family val="2"/>
        <scheme val="minor"/>
      </rPr>
      <t xml:space="preserve">
dct:identifier
SMILES, InChi or InChiKey</t>
    </r>
  </si>
  <si>
    <r>
      <rPr>
        <b/>
        <sz val="11"/>
        <rFont val="Calibri"/>
        <family val="2"/>
        <scheme val="minor"/>
      </rPr>
      <t>Precursor 1 amount</t>
    </r>
    <r>
      <rPr>
        <sz val="11"/>
        <rFont val="Calibri"/>
        <family val="2"/>
        <scheme val="minor"/>
      </rPr>
      <t xml:space="preserve">
voc4cat:sample mass
voc4cat:0007038</t>
    </r>
  </si>
  <si>
    <r>
      <rPr>
        <b/>
        <sz val="11"/>
        <rFont val="Calibri"/>
        <family val="2"/>
        <scheme val="minor"/>
      </rPr>
      <t xml:space="preserve">Precursor 2 </t>
    </r>
    <r>
      <rPr>
        <sz val="11"/>
        <rFont val="Calibri"/>
        <family val="2"/>
        <scheme val="minor"/>
      </rPr>
      <t xml:space="preserve">
precursor: voc4cat:0007794</t>
    </r>
  </si>
  <si>
    <r>
      <rPr>
        <b/>
        <sz val="11"/>
        <rFont val="Calibri"/>
        <family val="2"/>
        <scheme val="minor"/>
      </rPr>
      <t xml:space="preserve">Precursor 2 </t>
    </r>
    <r>
      <rPr>
        <sz val="11"/>
        <rFont val="Calibri"/>
        <family val="2"/>
        <scheme val="minor"/>
      </rPr>
      <t xml:space="preserve">
dct:identifier
SMILES, InChi or InChiKey</t>
    </r>
  </si>
  <si>
    <r>
      <rPr>
        <b/>
        <sz val="11"/>
        <rFont val="Calibri"/>
        <family val="2"/>
        <scheme val="minor"/>
      </rPr>
      <t>Precursor 2 amount</t>
    </r>
    <r>
      <rPr>
        <sz val="11"/>
        <rFont val="Calibri"/>
        <family val="2"/>
        <scheme val="minor"/>
      </rPr>
      <t xml:space="preserve">
voc4cat:sample mass
voc4cat:0007038</t>
    </r>
  </si>
  <si>
    <r>
      <rPr>
        <b/>
        <sz val="11"/>
        <rFont val="Calibri"/>
        <family val="2"/>
        <scheme val="minor"/>
      </rPr>
      <t>Precursor 3</t>
    </r>
    <r>
      <rPr>
        <sz val="11"/>
        <rFont val="Calibri"/>
        <family val="2"/>
        <scheme val="minor"/>
      </rPr>
      <t xml:space="preserve"> 
precursor: voc4cat:0007794</t>
    </r>
  </si>
  <si>
    <r>
      <rPr>
        <b/>
        <sz val="11"/>
        <rFont val="Calibri"/>
        <family val="2"/>
        <scheme val="minor"/>
      </rPr>
      <t xml:space="preserve">Precursor 3 </t>
    </r>
    <r>
      <rPr>
        <sz val="11"/>
        <rFont val="Calibri"/>
        <family val="2"/>
        <scheme val="minor"/>
      </rPr>
      <t xml:space="preserve">
dct:identifier
SMILES, InChi or InChiKey</t>
    </r>
  </si>
  <si>
    <r>
      <rPr>
        <b/>
        <sz val="11"/>
        <rFont val="Calibri"/>
        <family val="2"/>
        <scheme val="minor"/>
      </rPr>
      <t>Precursor 3 amount</t>
    </r>
    <r>
      <rPr>
        <sz val="11"/>
        <rFont val="Calibri"/>
        <family val="2"/>
        <scheme val="minor"/>
      </rPr>
      <t xml:space="preserve">
voc4cat:sample mass
voc4cat:0007038</t>
    </r>
  </si>
  <si>
    <r>
      <rPr>
        <b/>
        <sz val="11"/>
        <rFont val="Calibri"/>
        <family val="2"/>
        <scheme val="minor"/>
      </rPr>
      <t xml:space="preserve">Precursor 4 </t>
    </r>
    <r>
      <rPr>
        <sz val="11"/>
        <rFont val="Calibri"/>
        <family val="2"/>
        <scheme val="minor"/>
      </rPr>
      <t xml:space="preserve">
precursor: voc4cat:0007794</t>
    </r>
  </si>
  <si>
    <r>
      <rPr>
        <b/>
        <sz val="11"/>
        <rFont val="Calibri"/>
        <family val="2"/>
        <scheme val="minor"/>
      </rPr>
      <t xml:space="preserve">Precursor 4 </t>
    </r>
    <r>
      <rPr>
        <sz val="11"/>
        <rFont val="Calibri"/>
        <family val="2"/>
        <scheme val="minor"/>
      </rPr>
      <t xml:space="preserve">
dct:identifier
SMILES, InChi or InChiKey</t>
    </r>
  </si>
  <si>
    <r>
      <rPr>
        <b/>
        <sz val="11"/>
        <rFont val="Calibri"/>
        <family val="2"/>
        <scheme val="minor"/>
      </rPr>
      <t>Precursor 4 amount</t>
    </r>
    <r>
      <rPr>
        <sz val="11"/>
        <rFont val="Calibri"/>
        <family val="2"/>
        <scheme val="minor"/>
      </rPr>
      <t xml:space="preserve">
voc4cat:sample mass
voc4cat:0007038</t>
    </r>
  </si>
  <si>
    <r>
      <rPr>
        <b/>
        <sz val="11"/>
        <rFont val="Calibri"/>
        <family val="2"/>
        <scheme val="minor"/>
      </rPr>
      <t>additive</t>
    </r>
    <r>
      <rPr>
        <sz val="11"/>
        <rFont val="Calibri"/>
        <family val="2"/>
        <scheme val="minor"/>
      </rPr>
      <t xml:space="preserve">
voc4cat:0007793</t>
    </r>
  </si>
  <si>
    <r>
      <rPr>
        <b/>
        <sz val="11"/>
        <rFont val="Calibri"/>
        <family val="2"/>
        <scheme val="minor"/>
      </rPr>
      <t>additive</t>
    </r>
    <r>
      <rPr>
        <sz val="11"/>
        <rFont val="Calibri"/>
        <family val="2"/>
        <scheme val="minor"/>
      </rPr>
      <t xml:space="preserve">
dct:identifier
SMILES, InChi or InChiKey</t>
    </r>
  </si>
  <si>
    <r>
      <rPr>
        <b/>
        <sz val="11"/>
        <rFont val="Calibri"/>
        <family val="2"/>
        <scheme val="minor"/>
      </rPr>
      <t>Additive amount</t>
    </r>
    <r>
      <rPr>
        <sz val="11"/>
        <rFont val="Calibri"/>
        <family val="2"/>
        <scheme val="minor"/>
      </rPr>
      <t xml:space="preserve">
voc4cat:sample mass
voc4cat:0007038</t>
    </r>
  </si>
  <si>
    <r>
      <rPr>
        <b/>
        <sz val="11"/>
        <rFont val="Calibri"/>
        <family val="2"/>
        <scheme val="minor"/>
      </rPr>
      <t>Metal loading</t>
    </r>
    <r>
      <rPr>
        <sz val="11"/>
        <rFont val="Calibri"/>
        <family val="2"/>
        <scheme val="minor"/>
      </rPr>
      <t>, nominal (wt%)
voc4cat:0007815</t>
    </r>
  </si>
  <si>
    <r>
      <rPr>
        <b/>
        <sz val="11"/>
        <color theme="1"/>
        <rFont val="Calibri"/>
        <family val="2"/>
        <scheme val="minor"/>
      </rPr>
      <t>solvent</t>
    </r>
    <r>
      <rPr>
        <sz val="11"/>
        <color theme="1"/>
        <rFont val="Calibri"/>
        <family val="2"/>
        <scheme val="minor"/>
      </rPr>
      <t xml:space="preserve">
voc4cat:0007246</t>
    </r>
  </si>
  <si>
    <r>
      <rPr>
        <b/>
        <sz val="11"/>
        <color theme="1"/>
        <rFont val="Calibri"/>
        <family val="2"/>
        <scheme val="minor"/>
      </rPr>
      <t>solvent</t>
    </r>
    <r>
      <rPr>
        <sz val="11"/>
        <color theme="1"/>
        <rFont val="Calibri"/>
        <family val="2"/>
        <scheme val="minor"/>
      </rPr>
      <t xml:space="preserve">
dct:identifier
SMILES, InChi or InChiKey</t>
    </r>
  </si>
  <si>
    <r>
      <rPr>
        <b/>
        <sz val="11"/>
        <rFont val="Calibri"/>
        <family val="2"/>
        <scheme val="minor"/>
      </rPr>
      <t>solvent Volume</t>
    </r>
    <r>
      <rPr>
        <sz val="11"/>
        <rFont val="Calibri"/>
        <family val="2"/>
        <scheme val="minor"/>
      </rPr>
      <t xml:space="preserve">
AFO_/result#AFR:0001843</t>
    </r>
  </si>
  <si>
    <r>
      <rPr>
        <b/>
        <sz val="11"/>
        <rFont val="Calibri"/>
        <family val="2"/>
        <scheme val="minor"/>
      </rPr>
      <t>solubility</t>
    </r>
    <r>
      <rPr>
        <sz val="11"/>
        <rFont val="Calibri"/>
        <family val="2"/>
        <scheme val="minor"/>
      </rPr>
      <t xml:space="preserve">
voc4cat:0007839</t>
    </r>
  </si>
  <si>
    <r>
      <rPr>
        <b/>
        <sz val="11"/>
        <rFont val="Calibri"/>
        <family val="2"/>
        <scheme val="minor"/>
      </rPr>
      <t>device</t>
    </r>
    <r>
      <rPr>
        <sz val="11"/>
        <rFont val="Calibri"/>
        <family val="2"/>
        <scheme val="minor"/>
      </rPr>
      <t xml:space="preserve">
OBI:0000968</t>
    </r>
  </si>
  <si>
    <r>
      <rPr>
        <b/>
        <sz val="11"/>
        <rFont val="Calibri"/>
        <family val="2"/>
        <scheme val="minor"/>
      </rPr>
      <t>stirring time</t>
    </r>
    <r>
      <rPr>
        <sz val="11"/>
        <rFont val="Calibri"/>
        <family val="2"/>
        <scheme val="minor"/>
      </rPr>
      <t xml:space="preserve">
voc4cat:0007823</t>
    </r>
  </si>
  <si>
    <r>
      <rPr>
        <b/>
        <sz val="11"/>
        <rFont val="Calibri"/>
        <family val="2"/>
        <scheme val="minor"/>
      </rPr>
      <t>stirring speed</t>
    </r>
    <r>
      <rPr>
        <sz val="11"/>
        <rFont val="Calibri"/>
        <family val="2"/>
        <scheme val="minor"/>
      </rPr>
      <t xml:space="preserve">
voc4cat:0007822</t>
    </r>
  </si>
  <si>
    <r>
      <rPr>
        <b/>
        <sz val="11"/>
        <rFont val="Calibri"/>
        <family val="2"/>
        <scheme val="minor"/>
      </rPr>
      <t>mixing temperature</t>
    </r>
    <r>
      <rPr>
        <sz val="11"/>
        <rFont val="Calibri"/>
        <family val="2"/>
        <scheme val="minor"/>
      </rPr>
      <t xml:space="preserve">
voc4cat:0007835</t>
    </r>
  </si>
  <si>
    <r>
      <rPr>
        <b/>
        <sz val="11"/>
        <rFont val="Calibri"/>
        <family val="2"/>
        <scheme val="minor"/>
      </rPr>
      <t>milling speed</t>
    </r>
    <r>
      <rPr>
        <sz val="11"/>
        <rFont val="Calibri"/>
        <family val="2"/>
        <scheme val="minor"/>
      </rPr>
      <t xml:space="preserve">
voc4cat:0007832</t>
    </r>
  </si>
  <si>
    <r>
      <rPr>
        <b/>
        <sz val="11"/>
        <rFont val="Calibri"/>
        <family val="2"/>
        <scheme val="minor"/>
      </rPr>
      <t>milling duration</t>
    </r>
    <r>
      <rPr>
        <sz val="11"/>
        <rFont val="Calibri"/>
        <family val="2"/>
        <scheme val="minor"/>
      </rPr>
      <t xml:space="preserve">
voc4cat:0007831</t>
    </r>
  </si>
  <si>
    <r>
      <rPr>
        <b/>
        <sz val="11"/>
        <rFont val="Calibri"/>
        <family val="2"/>
        <scheme val="minor"/>
      </rPr>
      <t>Additive</t>
    </r>
    <r>
      <rPr>
        <sz val="11"/>
        <rFont val="Calibri"/>
        <family val="2"/>
        <scheme val="minor"/>
      </rPr>
      <t xml:space="preserve">
voc4cat:00077932</t>
    </r>
  </si>
  <si>
    <r>
      <rPr>
        <b/>
        <sz val="11"/>
        <rFont val="Calibri"/>
        <family val="2"/>
        <scheme val="minor"/>
      </rPr>
      <t>catalyst mass</t>
    </r>
    <r>
      <rPr>
        <sz val="11"/>
        <rFont val="Calibri"/>
        <family val="2"/>
        <scheme val="minor"/>
      </rPr>
      <t xml:space="preserve">
voc4cat:0007792</t>
    </r>
  </si>
  <si>
    <r>
      <rPr>
        <b/>
        <sz val="11"/>
        <rFont val="Calibri"/>
        <family val="2"/>
        <scheme val="minor"/>
      </rPr>
      <t>Pressure</t>
    </r>
    <r>
      <rPr>
        <sz val="11"/>
        <rFont val="Calibri"/>
        <family val="2"/>
        <scheme val="minor"/>
      </rPr>
      <t xml:space="preserve">
AFO_/result#AFR:00019182</t>
    </r>
  </si>
  <si>
    <r>
      <rPr>
        <b/>
        <sz val="11"/>
        <rFont val="Calibri"/>
        <family val="2"/>
        <scheme val="minor"/>
      </rPr>
      <t>synthesis duration</t>
    </r>
    <r>
      <rPr>
        <sz val="11"/>
        <rFont val="Calibri"/>
        <family val="2"/>
        <scheme val="minor"/>
      </rPr>
      <t xml:space="preserve">
voc4cat:00000504</t>
    </r>
  </si>
  <si>
    <r>
      <rPr>
        <b/>
        <sz val="11"/>
        <rFont val="Calibri"/>
        <family val="2"/>
        <scheme val="minor"/>
      </rPr>
      <t>Pressure</t>
    </r>
    <r>
      <rPr>
        <sz val="11"/>
        <rFont val="Calibri"/>
        <family val="2"/>
        <scheme val="minor"/>
      </rPr>
      <t xml:space="preserve">
AFO_/result#AFR:0001918</t>
    </r>
  </si>
  <si>
    <r>
      <rPr>
        <b/>
        <sz val="11"/>
        <rFont val="Calibri"/>
        <family val="2"/>
        <scheme val="minor"/>
      </rPr>
      <t>sample mass</t>
    </r>
    <r>
      <rPr>
        <sz val="11"/>
        <rFont val="Calibri"/>
        <family val="2"/>
        <scheme val="minor"/>
      </rPr>
      <t xml:space="preserve"> (used to be amount)
voc4cat:00070383</t>
    </r>
  </si>
  <si>
    <r>
      <rPr>
        <b/>
        <sz val="11"/>
        <rFont val="Calibri"/>
        <family val="2"/>
        <scheme val="minor"/>
      </rPr>
      <t>sieve fraction</t>
    </r>
    <r>
      <rPr>
        <sz val="11"/>
        <rFont val="Calibri"/>
        <family val="2"/>
        <scheme val="minor"/>
      </rPr>
      <t xml:space="preserve">
voc4cat:0007022</t>
    </r>
  </si>
  <si>
    <r>
      <rPr>
        <b/>
        <sz val="11"/>
        <rFont val="Calibri"/>
        <family val="2"/>
        <scheme val="minor"/>
      </rPr>
      <t>calcination dwelling time</t>
    </r>
    <r>
      <rPr>
        <sz val="11"/>
        <rFont val="Calibri"/>
        <family val="2"/>
        <scheme val="minor"/>
      </rPr>
      <t xml:space="preserve">
voc4cat:0000060</t>
    </r>
  </si>
  <si>
    <r>
      <rPr>
        <b/>
        <sz val="11"/>
        <rFont val="Calibri"/>
        <family val="2"/>
        <scheme val="minor"/>
      </rPr>
      <t>calcination heating rate</t>
    </r>
    <r>
      <rPr>
        <sz val="11"/>
        <rFont val="Calibri"/>
        <family val="2"/>
        <scheme val="minor"/>
      </rPr>
      <t xml:space="preserve">
voc4cat:0000059</t>
    </r>
  </si>
  <si>
    <r>
      <rPr>
        <b/>
        <sz val="11"/>
        <rFont val="Calibri"/>
        <family val="2"/>
        <scheme val="minor"/>
      </rPr>
      <t>calcination final temperature</t>
    </r>
    <r>
      <rPr>
        <sz val="11"/>
        <rFont val="Calibri"/>
        <family val="2"/>
        <scheme val="minor"/>
      </rPr>
      <t xml:space="preserve">
voc4cat:0000058</t>
    </r>
  </si>
  <si>
    <r>
      <rPr>
        <b/>
        <sz val="11"/>
        <rFont val="Calibri"/>
        <family val="2"/>
        <scheme val="minor"/>
      </rPr>
      <t>calcination initial temperature</t>
    </r>
    <r>
      <rPr>
        <sz val="11"/>
        <rFont val="Calibri"/>
        <family val="2"/>
        <scheme val="minor"/>
      </rPr>
      <t xml:space="preserve">
voc4cat:0000057</t>
    </r>
  </si>
  <si>
    <r>
      <rPr>
        <b/>
        <sz val="11"/>
        <rFont val="Calibri"/>
        <family val="2"/>
        <scheme val="minor"/>
      </rPr>
      <t>calcination gas flow rate</t>
    </r>
    <r>
      <rPr>
        <sz val="11"/>
        <rFont val="Calibri"/>
        <family val="2"/>
        <scheme val="minor"/>
      </rPr>
      <t xml:space="preserve">
voc4cat:0000056</t>
    </r>
  </si>
  <si>
    <r>
      <rPr>
        <b/>
        <sz val="11"/>
        <rFont val="Calibri"/>
        <family val="2"/>
        <scheme val="minor"/>
      </rPr>
      <t>gas</t>
    </r>
    <r>
      <rPr>
        <sz val="11"/>
        <rFont val="Calibri"/>
        <family val="2"/>
        <scheme val="minor"/>
      </rPr>
      <t xml:space="preserve">
dct:identifier
SMILES, InChi or InChiKey</t>
    </r>
  </si>
  <si>
    <r>
      <rPr>
        <b/>
        <sz val="11"/>
        <rFont val="Calibri"/>
        <family val="2"/>
        <scheme val="minor"/>
      </rPr>
      <t>synthesis duration</t>
    </r>
    <r>
      <rPr>
        <sz val="11"/>
        <rFont val="Calibri"/>
        <family val="2"/>
        <scheme val="minor"/>
      </rPr>
      <t xml:space="preserve">
voc4cat:00000502</t>
    </r>
  </si>
  <si>
    <r>
      <rPr>
        <b/>
        <sz val="11"/>
        <rFont val="Calibri"/>
        <family val="2"/>
        <scheme val="minor"/>
      </rPr>
      <t>Temperature</t>
    </r>
    <r>
      <rPr>
        <sz val="11"/>
        <rFont val="Calibri"/>
        <family val="2"/>
        <scheme val="minor"/>
      </rPr>
      <t xml:space="preserve">
AFO_/result#AFR:00015842</t>
    </r>
  </si>
  <si>
    <r>
      <rPr>
        <b/>
        <sz val="11"/>
        <rFont val="Calibri"/>
        <family val="2"/>
        <scheme val="minor"/>
      </rPr>
      <t>acid/base</t>
    </r>
    <r>
      <rPr>
        <sz val="11"/>
        <rFont val="Calibri"/>
        <family val="2"/>
        <scheme val="minor"/>
      </rPr>
      <t xml:space="preserve">
dct:identifier
SMILES, InChi or InChiKey</t>
    </r>
  </si>
  <si>
    <r>
      <rPr>
        <b/>
        <sz val="11"/>
        <rFont val="Calibri"/>
        <family val="2"/>
        <scheme val="minor"/>
      </rPr>
      <t>sample mass</t>
    </r>
    <r>
      <rPr>
        <sz val="11"/>
        <rFont val="Calibri"/>
        <family val="2"/>
        <scheme val="minor"/>
      </rPr>
      <t xml:space="preserve"> (used to be amount)
voc4cat:0007038</t>
    </r>
  </si>
  <si>
    <r>
      <rPr>
        <b/>
        <sz val="11"/>
        <rFont val="Calibri"/>
        <family val="2"/>
        <scheme val="minor"/>
      </rPr>
      <t>stirring speed</t>
    </r>
    <r>
      <rPr>
        <sz val="11"/>
        <rFont val="Calibri"/>
        <family val="2"/>
        <scheme val="minor"/>
      </rPr>
      <t xml:space="preserve">
voc4cat:00078222</t>
    </r>
  </si>
  <si>
    <r>
      <rPr>
        <b/>
        <sz val="11"/>
        <rFont val="Calibri"/>
        <family val="2"/>
        <scheme val="minor"/>
      </rPr>
      <t>Temperature</t>
    </r>
    <r>
      <rPr>
        <sz val="11"/>
        <rFont val="Calibri"/>
        <family val="2"/>
        <scheme val="minor"/>
      </rPr>
      <t xml:space="preserve">
AFO_/result#AFR:0001584</t>
    </r>
  </si>
  <si>
    <r>
      <rPr>
        <b/>
        <sz val="11"/>
        <rFont val="Calibri"/>
        <family val="2"/>
        <scheme val="minor"/>
      </rPr>
      <t>sample mass</t>
    </r>
    <r>
      <rPr>
        <sz val="11"/>
        <rFont val="Calibri"/>
        <family val="2"/>
        <scheme val="minor"/>
      </rPr>
      <t xml:space="preserve"> (used to be amount)
voc4cat:00070384</t>
    </r>
  </si>
  <si>
    <r>
      <rPr>
        <b/>
        <sz val="11"/>
        <rFont val="Calibri"/>
        <family val="2"/>
        <scheme val="minor"/>
      </rPr>
      <t>solvent</t>
    </r>
    <r>
      <rPr>
        <sz val="11"/>
        <rFont val="Calibri"/>
        <family val="2"/>
        <scheme val="minor"/>
      </rPr>
      <t xml:space="preserve"> 1
dct:identifier
SMILES, InChi or InChiKey</t>
    </r>
  </si>
  <si>
    <r>
      <rPr>
        <b/>
        <sz val="11"/>
        <rFont val="Calibri"/>
        <family val="2"/>
        <scheme val="minor"/>
      </rPr>
      <t>solvent</t>
    </r>
    <r>
      <rPr>
        <sz val="11"/>
        <rFont val="Calibri"/>
        <family val="2"/>
        <scheme val="minor"/>
      </rPr>
      <t xml:space="preserve"> 2
voc4cat:0007246 </t>
    </r>
  </si>
  <si>
    <r>
      <rPr>
        <b/>
        <sz val="11"/>
        <rFont val="Calibri"/>
        <family val="2"/>
        <scheme val="minor"/>
      </rPr>
      <t>solvent</t>
    </r>
    <r>
      <rPr>
        <sz val="11"/>
        <rFont val="Calibri"/>
        <family val="2"/>
        <scheme val="minor"/>
      </rPr>
      <t xml:space="preserve"> 2
dct:identifier
SMILES, InChi or InChiKey</t>
    </r>
  </si>
  <si>
    <r>
      <rPr>
        <b/>
        <sz val="11"/>
        <rFont val="Calibri"/>
        <family val="2"/>
        <scheme val="minor"/>
      </rPr>
      <t>synthesis duration</t>
    </r>
    <r>
      <rPr>
        <sz val="11"/>
        <rFont val="Calibri"/>
        <family val="2"/>
        <scheme val="minor"/>
      </rPr>
      <t xml:space="preserve">
voc4cat:00000503</t>
    </r>
  </si>
  <si>
    <r>
      <rPr>
        <b/>
        <sz val="11"/>
        <rFont val="Calibri"/>
        <family val="2"/>
        <scheme val="minor"/>
      </rPr>
      <t>solvent</t>
    </r>
    <r>
      <rPr>
        <sz val="11"/>
        <rFont val="Calibri"/>
        <family val="2"/>
        <scheme val="minor"/>
      </rPr>
      <t xml:space="preserve">
dct:identifier
SMILES, InChi or InChiKey2</t>
    </r>
  </si>
  <si>
    <r>
      <rPr>
        <b/>
        <sz val="11"/>
        <rFont val="Calibri"/>
        <family val="2"/>
        <scheme val="minor"/>
      </rPr>
      <t>solvent Volume</t>
    </r>
    <r>
      <rPr>
        <sz val="11"/>
        <rFont val="Calibri"/>
        <family val="2"/>
        <scheme val="minor"/>
      </rPr>
      <t xml:space="preserve">
AFO_/result#AFR:00018432</t>
    </r>
  </si>
  <si>
    <r>
      <rPr>
        <b/>
        <sz val="11"/>
        <rFont val="Calibri"/>
        <family val="2"/>
        <scheme val="minor"/>
      </rPr>
      <t>solvent</t>
    </r>
    <r>
      <rPr>
        <sz val="11"/>
        <rFont val="Calibri"/>
        <family val="2"/>
        <scheme val="minor"/>
      </rPr>
      <t xml:space="preserve">
dct:identifier
SMILES, InChi or InChiKey3</t>
    </r>
  </si>
  <si>
    <r>
      <rPr>
        <b/>
        <sz val="11"/>
        <rFont val="Calibri"/>
        <family val="2"/>
        <scheme val="minor"/>
      </rPr>
      <t>solvent Volume</t>
    </r>
    <r>
      <rPr>
        <sz val="11"/>
        <rFont val="Calibri"/>
        <family val="2"/>
        <scheme val="minor"/>
      </rPr>
      <t xml:space="preserve">
AFO_/result#AFR:00018433</t>
    </r>
  </si>
  <si>
    <r>
      <rPr>
        <b/>
        <sz val="11"/>
        <rFont val="Calibri"/>
        <family val="2"/>
        <scheme val="minor"/>
      </rPr>
      <t>sample mass</t>
    </r>
    <r>
      <rPr>
        <sz val="11"/>
        <rFont val="Calibri"/>
        <family val="2"/>
        <scheme val="minor"/>
      </rPr>
      <t xml:space="preserve"> (used to be amount)
voc4cat:00070382</t>
    </r>
  </si>
  <si>
    <r>
      <rPr>
        <b/>
        <sz val="11"/>
        <color theme="1"/>
        <rFont val="Calibri"/>
        <family val="2"/>
        <scheme val="minor"/>
      </rPr>
      <t>solvent</t>
    </r>
    <r>
      <rPr>
        <sz val="11"/>
        <color theme="1"/>
        <rFont val="Calibri"/>
        <family val="2"/>
        <scheme val="minor"/>
      </rPr>
      <t xml:space="preserve">
voc4cat:00072462</t>
    </r>
  </si>
  <si>
    <r>
      <rPr>
        <b/>
        <sz val="11"/>
        <color theme="1"/>
        <rFont val="Calibri"/>
        <family val="2"/>
        <scheme val="minor"/>
      </rPr>
      <t>solvent</t>
    </r>
    <r>
      <rPr>
        <sz val="11"/>
        <color theme="1"/>
        <rFont val="Calibri"/>
        <family val="2"/>
        <scheme val="minor"/>
      </rPr>
      <t xml:space="preserve">
dct:identifier
SMILES, InChi or InChiKey4</t>
    </r>
  </si>
  <si>
    <r>
      <rPr>
        <b/>
        <sz val="11"/>
        <rFont val="Calibri"/>
        <family val="2"/>
        <scheme val="minor"/>
      </rPr>
      <t>solvent Volume</t>
    </r>
    <r>
      <rPr>
        <sz val="11"/>
        <rFont val="Calibri"/>
        <family val="2"/>
        <scheme val="minor"/>
      </rPr>
      <t xml:space="preserve">
AFO_/result#AFR:00018434</t>
    </r>
  </si>
  <si>
    <t>molar ratio metal additive</t>
  </si>
  <si>
    <t>dct</t>
  </si>
  <si>
    <t>Chemical dct:identifier SMILES, InChi or InChiKey</t>
  </si>
  <si>
    <t>Gas1_dct:identifier SMILES, InChi or InChiKey</t>
  </si>
  <si>
    <t>Precursor dct:identifier SMILES, InChi or InChiKey</t>
  </si>
  <si>
    <t xml:space="preserve">Precursor </t>
  </si>
  <si>
    <t>Solvent dct:identifier SMILES, InChi or InChiKey</t>
  </si>
  <si>
    <t>Solvent volume</t>
  </si>
  <si>
    <t>identifier</t>
  </si>
  <si>
    <r>
      <t>Name</t>
    </r>
    <r>
      <rPr>
        <sz val="11"/>
        <rFont val="Calibri"/>
        <family val="2"/>
        <scheme val="minor"/>
      </rPr>
      <t xml:space="preserve">
dct:title</t>
    </r>
  </si>
  <si>
    <t>Synthesis procedure voc4cat:0000049</t>
  </si>
  <si>
    <t>synthesis procedure</t>
  </si>
  <si>
    <t>voc4cat:0000049</t>
  </si>
  <si>
    <t>step number</t>
  </si>
  <si>
    <t>solvent
voc4cat:00072463</t>
  </si>
  <si>
    <t>synthesis step</t>
  </si>
  <si>
    <t>synthesis step2</t>
  </si>
  <si>
    <t>milling device
voc4cat:00078312</t>
  </si>
  <si>
    <t>synthesis step3</t>
  </si>
  <si>
    <t>acid/base2</t>
  </si>
  <si>
    <t>synthesis step4</t>
  </si>
  <si>
    <r>
      <rPr>
        <b/>
        <sz val="11"/>
        <rFont val="Calibri"/>
        <family val="2"/>
        <scheme val="minor"/>
      </rPr>
      <t>device</t>
    </r>
    <r>
      <rPr>
        <sz val="11"/>
        <rFont val="Calibri"/>
        <family val="2"/>
        <scheme val="minor"/>
      </rPr>
      <t xml:space="preserve">
OBI:000096822</t>
    </r>
  </si>
  <si>
    <t>synthesis step5</t>
  </si>
  <si>
    <r>
      <rPr>
        <b/>
        <sz val="11"/>
        <rFont val="Calibri"/>
        <family val="2"/>
        <scheme val="minor"/>
      </rPr>
      <t>solvent 1</t>
    </r>
    <r>
      <rPr>
        <sz val="11"/>
        <rFont val="Calibri"/>
        <family val="2"/>
        <scheme val="minor"/>
      </rPr>
      <t xml:space="preserve">
voc4cat:0007246</t>
    </r>
  </si>
  <si>
    <t>synthesis step6</t>
  </si>
  <si>
    <t>synthesis step7</t>
  </si>
  <si>
    <t>solvent
voc4cat:00072464</t>
  </si>
  <si>
    <t>synthesis step8</t>
  </si>
  <si>
    <t>impregnation
voc4cat:00070282</t>
  </si>
  <si>
    <t>synthesis step9</t>
  </si>
  <si>
    <r>
      <rPr>
        <b/>
        <sz val="11"/>
        <rFont val="Calibri"/>
        <family val="2"/>
        <scheme val="minor"/>
      </rPr>
      <t>device</t>
    </r>
    <r>
      <rPr>
        <sz val="11"/>
        <rFont val="Calibri"/>
        <family val="2"/>
        <scheme val="minor"/>
      </rPr>
      <t xml:space="preserve">
OBI:000096834</t>
    </r>
  </si>
  <si>
    <t>synthesis step10</t>
  </si>
  <si>
    <r>
      <rPr>
        <b/>
        <sz val="11"/>
        <rFont val="Calibri"/>
        <family val="2"/>
        <scheme val="minor"/>
      </rPr>
      <t xml:space="preserve">calcination gaseous environment
</t>
    </r>
    <r>
      <rPr>
        <sz val="11"/>
        <rFont val="Calibri"/>
        <family val="2"/>
        <scheme val="minor"/>
      </rPr>
      <t>voc4cat:00000552</t>
    </r>
  </si>
  <si>
    <t>synthesis step11</t>
  </si>
  <si>
    <t>Device
OBI:0000968322</t>
  </si>
  <si>
    <t>synthesis step12</t>
  </si>
  <si>
    <t>Device
OBI:0000968332</t>
  </si>
  <si>
    <t>synthesis step13</t>
  </si>
  <si>
    <r>
      <t>1.) There are two sheets for the catalyst synthesis:
a)</t>
    </r>
    <r>
      <rPr>
        <b/>
        <sz val="11"/>
        <color theme="1"/>
        <rFont val="Calibri"/>
        <family val="2"/>
        <scheme val="minor"/>
      </rPr>
      <t xml:space="preserve"> Catalyst precise</t>
    </r>
    <r>
      <rPr>
        <sz val="11"/>
        <color theme="1"/>
        <rFont val="Calibri"/>
        <family val="2"/>
        <scheme val="minor"/>
      </rPr>
      <t xml:space="preserve"> which contains general catalyst data (= catalyst general) + more detailed information about the different synthesis steps (synthesis procedure)
b) </t>
    </r>
    <r>
      <rPr>
        <b/>
        <sz val="11"/>
        <color theme="1"/>
        <rFont val="Calibri"/>
        <family val="2"/>
        <scheme val="minor"/>
      </rPr>
      <t xml:space="preserve">Catalyst general </t>
    </r>
    <r>
      <rPr>
        <sz val="11"/>
        <color theme="1"/>
        <rFont val="Calibri"/>
        <family val="2"/>
        <scheme val="minor"/>
      </rPr>
      <t xml:space="preserve">(this one is a protected sheet, password: catalyst)
all the data is entered in the </t>
    </r>
    <r>
      <rPr>
        <b/>
        <sz val="11"/>
        <color theme="1"/>
        <rFont val="Calibri"/>
        <family val="2"/>
        <scheme val="minor"/>
      </rPr>
      <t>catalyst precise sheet</t>
    </r>
    <r>
      <rPr>
        <sz val="11"/>
        <color theme="1"/>
        <rFont val="Calibri"/>
        <family val="2"/>
        <scheme val="minor"/>
      </rPr>
      <t xml:space="preserve"> and data is automatically transferred to the </t>
    </r>
    <r>
      <rPr>
        <b/>
        <sz val="11"/>
        <color theme="1"/>
        <rFont val="Calibri"/>
        <family val="2"/>
        <scheme val="minor"/>
      </rPr>
      <t>catalyst general sheet</t>
    </r>
    <r>
      <rPr>
        <sz val="11"/>
        <color theme="1"/>
        <rFont val="Calibri"/>
        <family val="2"/>
        <scheme val="minor"/>
      </rPr>
      <t xml:space="preserve"> 
</t>
    </r>
    <r>
      <rPr>
        <b/>
        <sz val="11"/>
        <color theme="1"/>
        <rFont val="Calibri"/>
        <family val="2"/>
        <scheme val="minor"/>
      </rPr>
      <t>Why are there the two sheets?</t>
    </r>
    <r>
      <rPr>
        <sz val="11"/>
        <color theme="1"/>
        <rFont val="Calibri"/>
        <family val="2"/>
        <scheme val="minor"/>
      </rPr>
      <t xml:space="preserve">
The general information is required for the identification of the catalyst. The synthesis procedures are recommended additional details about the specific catalysts which are highly important for the synthesis but incorporate much more parameters which are not always required for more superficial data interpretation. 
For specific concepts there are pregiven dropdown options: 
- catalyst --&gt; describing the type of the cat (homog., heterog., hybrid)
- preparation method --&gt; such as organometallic synthesis or wet impregnation
- additive --&gt; describes the type of the modifier such as dopant, molecular modifier or ligand 
- impregnation --&gt; incipient wetness or wet impregnation etc. 
Voc4Cat relations:
- are given in the spreadsheets
- if no suitable concept is given in Voc4Cat - related vocabularies are given such as OBI or AFO
- an overview of the concepts is given also in </t>
    </r>
    <r>
      <rPr>
        <b/>
        <sz val="11"/>
        <color theme="1"/>
        <rFont val="Calibri"/>
        <family val="2"/>
        <scheme val="minor"/>
      </rPr>
      <t>Relations Voc4Cat</t>
    </r>
    <r>
      <rPr>
        <sz val="11"/>
        <color theme="1"/>
        <rFont val="Calibri"/>
        <family val="2"/>
        <scheme val="minor"/>
      </rPr>
      <t xml:space="preserve">
- the corresponding voc4cat identifiers for the terms in the dropdown menu can be found in the additional excel sheet </t>
    </r>
    <r>
      <rPr>
        <b/>
        <sz val="11"/>
        <color theme="1"/>
        <rFont val="Calibri"/>
        <family val="2"/>
        <scheme val="minor"/>
      </rPr>
      <t>Relations Voc4Cat</t>
    </r>
    <r>
      <rPr>
        <sz val="11"/>
        <color theme="1"/>
        <rFont val="Calibri"/>
        <family val="2"/>
        <scheme val="minor"/>
      </rPr>
      <t xml:space="preserve">
Synthesis step = order of synthesis --&gt; which step is this specific procedure during the complete synthesis (dropdown 1-15)</t>
    </r>
  </si>
  <si>
    <t>ARNE</t>
  </si>
  <si>
    <t>publication name</t>
  </si>
  <si>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</sst>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sz val="11"/>
      <name val="Calibri"/>
      <family val="2"/>
    </font>
    <font>
      <sz val="11"/>
      <name val="Aptos Narrow"/>
      <family val="2"/>
    </font>
    <font>
      <sz val="8"/>
      <name val="Calibri"/>
      <family val="2"/>
      <scheme val="minor"/>
    </font>
    <font>
      <i/>
      <sz val="11"/>
      <color theme="1"/>
      <name val="Calibri"/>
      <family val="2"/>
      <scheme val="minor"/>
    </font>
    <font>
      <b/>
      <sz val="14"/>
      <name val="Calibri"/>
      <family val="2"/>
      <scheme val="minor"/>
    </font>
    <font>
      <b/>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bgColor indexed="64"/>
      </patternFill>
    </fill>
    <fill>
      <patternFill patternType="solid">
        <fgColor theme="7"/>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0" fillId="4" borderId="0" xfId="0" applyFill="1" applyAlignment="1">
      <alignment horizontal="center" vertical="center"/>
    </xf>
    <xf numFmtId="0" fontId="0" fillId="3" borderId="0" xfId="0" applyFill="1" applyAlignment="1">
      <alignment vertical="center"/>
    </xf>
    <xf numFmtId="0" fontId="0" fillId="5" borderId="0" xfId="0" applyFill="1" applyAlignment="1">
      <alignment vertical="center"/>
    </xf>
    <xf numFmtId="0" fontId="4" fillId="0" borderId="0" xfId="0" applyFont="1" applyAlignment="1">
      <alignment horizontal="center" vertical="center"/>
    </xf>
    <xf numFmtId="165" fontId="4" fillId="0" borderId="0" xfId="0" applyNumberFormat="1" applyFont="1" applyAlignment="1">
      <alignment horizontal="center" vertical="center" indent="1"/>
    </xf>
    <xf numFmtId="0" fontId="4" fillId="0" borderId="0" xfId="0" applyFont="1" applyAlignment="1">
      <alignment horizontal="center"/>
    </xf>
    <xf numFmtId="164" fontId="4" fillId="0" borderId="0" xfId="0" applyNumberFormat="1" applyFont="1" applyAlignment="1">
      <alignment horizontal="center" vertical="center"/>
    </xf>
    <xf numFmtId="0" fontId="4" fillId="0" borderId="0" xfId="1" applyNumberFormat="1" applyFont="1" applyFill="1" applyAlignment="1">
      <alignment horizontal="center" vertical="center"/>
    </xf>
    <xf numFmtId="164" fontId="4" fillId="0" borderId="0" xfId="0" applyNumberFormat="1" applyFont="1" applyAlignment="1">
      <alignment horizontal="center"/>
    </xf>
    <xf numFmtId="0" fontId="5" fillId="0" borderId="0" xfId="0" applyFont="1" applyAlignment="1">
      <alignment horizontal="center"/>
    </xf>
    <xf numFmtId="0" fontId="4" fillId="0" borderId="0" xfId="0" applyFont="1" applyAlignment="1">
      <alignment horizontal="left"/>
    </xf>
    <xf numFmtId="0" fontId="4" fillId="0" borderId="0" xfId="1" applyNumberFormat="1" applyFont="1" applyFill="1" applyBorder="1" applyAlignment="1">
      <alignment horizontal="center" vertical="center"/>
    </xf>
    <xf numFmtId="0" fontId="4" fillId="0" borderId="0" xfId="0" applyFont="1" applyAlignment="1">
      <alignment vertical="center"/>
    </xf>
    <xf numFmtId="0" fontId="4" fillId="0" borderId="0" xfId="0" applyFont="1"/>
    <xf numFmtId="0" fontId="8" fillId="0" borderId="0" xfId="0" applyFont="1"/>
    <xf numFmtId="0" fontId="9" fillId="0" borderId="2" xfId="0" applyFont="1" applyBorder="1" applyAlignment="1">
      <alignment vertical="center"/>
    </xf>
    <xf numFmtId="0" fontId="9" fillId="2" borderId="2" xfId="0" applyFont="1" applyFill="1" applyBorder="1" applyAlignment="1">
      <alignment vertical="center"/>
    </xf>
    <xf numFmtId="0" fontId="0" fillId="0" borderId="0" xfId="0" applyAlignment="1">
      <alignment wrapText="1"/>
    </xf>
    <xf numFmtId="0" fontId="5" fillId="0" borderId="0" xfId="0" applyFont="1"/>
    <xf numFmtId="0" fontId="9" fillId="6" borderId="2" xfId="0" applyFont="1" applyFill="1" applyBorder="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vertical="center"/>
    </xf>
    <xf numFmtId="0" fontId="2" fillId="0" borderId="0" xfId="0" applyFont="1"/>
    <xf numFmtId="0" fontId="0" fillId="0" borderId="0" xfId="0" applyAlignment="1">
      <alignment horizontal="center" vertical="center" wrapText="1"/>
    </xf>
    <xf numFmtId="0" fontId="2" fillId="0" borderId="0" xfId="0" applyFont="1" applyAlignment="1">
      <alignment horizontal="center" vertical="center" wrapText="1"/>
    </xf>
    <xf numFmtId="0" fontId="4" fillId="7" borderId="0" xfId="0" applyFont="1" applyFill="1" applyAlignment="1">
      <alignment horizontal="center" vertical="center"/>
    </xf>
    <xf numFmtId="0" fontId="4" fillId="7" borderId="0" xfId="0" applyFont="1" applyFill="1" applyAlignment="1">
      <alignment horizontal="left"/>
    </xf>
    <xf numFmtId="0" fontId="4" fillId="8" borderId="0" xfId="0" applyFont="1" applyFill="1" applyAlignment="1">
      <alignment horizontal="left"/>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1" xfId="0" applyFont="1" applyFill="1" applyBorder="1" applyAlignment="1">
      <alignment horizontal="center" vertical="center"/>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0" fillId="0" borderId="0" xfId="0" applyAlignment="1">
      <alignment horizontal="left" vertical="top" wrapText="1"/>
    </xf>
    <xf numFmtId="0" fontId="0" fillId="0" borderId="0" xfId="0" applyAlignment="1">
      <alignment horizontal="left" vertical="top"/>
    </xf>
  </cellXfs>
  <cellStyles count="2">
    <cellStyle name="Prozent" xfId="1" builtinId="5"/>
    <cellStyle name="Standard" xfId="0" builtinId="0"/>
  </cellStyles>
  <dxfs count="142">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center"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center"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alignment horizontal="center" vertical="center" textRotation="0" wrapText="0" indent="0" justifyLastLine="0" shrinkToFit="0" readingOrder="0"/>
    </dxf>
    <dxf>
      <font>
        <strike val="0"/>
        <outline val="0"/>
        <shadow val="0"/>
        <u val="none"/>
        <sz val="11"/>
        <color auto="1"/>
      </font>
      <fill>
        <patternFill patternType="none">
          <fgColor indexed="64"/>
          <bgColor auto="1"/>
        </patternFill>
      </fill>
    </dxf>
    <dxf>
      <font>
        <b val="0"/>
        <strike val="0"/>
        <outline val="0"/>
        <shadow val="0"/>
        <u val="none"/>
        <sz val="11"/>
        <color auto="1"/>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alignment horizontal="left" vertical="bottom" textRotation="0" wrapText="0" indent="0" justifyLastLine="0" shrinkToFit="0" readingOrder="0"/>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dxf>
    <dxf>
      <font>
        <strike val="0"/>
        <outline val="0"/>
        <shadow val="0"/>
        <u val="none"/>
        <sz val="11"/>
        <color auto="1"/>
      </font>
      <fill>
        <patternFill patternType="none">
          <fgColor indexed="64"/>
          <bgColor auto="1"/>
        </patternFill>
      </fill>
      <alignment horizontal="center" vertical="center" textRotation="0" wrapText="0" indent="0" justifyLastLine="0" shrinkToFit="0" readingOrder="0"/>
    </dxf>
    <dxf>
      <font>
        <strike val="0"/>
        <outline val="0"/>
        <shadow val="0"/>
        <u val="none"/>
        <sz val="11"/>
        <color auto="1"/>
      </font>
      <fill>
        <patternFill patternType="none">
          <fgColor rgb="FF000000"/>
          <bgColor auto="1"/>
        </patternFill>
      </fill>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s>
  <tableStyles count="0" defaultTableStyle="TableStyleMedium2" defaultPivotStyle="PivotStyleLight16"/>
  <colors>
    <mruColors>
      <color rgb="FF0099FF"/>
      <color rgb="FF0080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196215</xdr:colOff>
      <xdr:row>0</xdr:row>
      <xdr:rowOff>-1</xdr:rowOff>
    </xdr:from>
    <xdr:to>
      <xdr:col>2</xdr:col>
      <xdr:colOff>401955</xdr:colOff>
      <xdr:row>2</xdr:row>
      <xdr:rowOff>46274</xdr:rowOff>
    </xdr:to>
    <mc:AlternateContent xmlns:mc="http://schemas.openxmlformats.org/markup-compatibility/2006" xmlns:sle15="http://schemas.microsoft.com/office/drawing/2012/slicer">
      <mc:Choice Requires="sle15">
        <xdr:graphicFrame macro="">
          <xdr:nvGraphicFramePr>
            <xdr:cNvPr id="2" name="ID Number 3">
              <a:extLst>
                <a:ext uri="{FF2B5EF4-FFF2-40B4-BE49-F238E27FC236}">
                  <a16:creationId xmlns:a16="http://schemas.microsoft.com/office/drawing/2014/main" id="{4DBA2094-AF9C-408A-853C-D96B42499A80}"/>
                </a:ext>
              </a:extLst>
            </xdr:cNvPr>
            <xdr:cNvGraphicFramePr/>
          </xdr:nvGraphicFramePr>
          <xdr:xfrm>
            <a:off x="0" y="0"/>
            <a:ext cx="0" cy="0"/>
          </xdr:xfrm>
          <a:graphic>
            <a:graphicData uri="http://schemas.microsoft.com/office/drawing/2010/slicer">
              <sle:slicer xmlns:sle="http://schemas.microsoft.com/office/drawing/2010/slicer" name="ID Number 3"/>
            </a:graphicData>
          </a:graphic>
        </xdr:graphicFrame>
      </mc:Choice>
      <mc:Fallback xmlns="">
        <xdr:sp macro="" textlink="">
          <xdr:nvSpPr>
            <xdr:cNvPr id="0" name=""/>
            <xdr:cNvSpPr>
              <a:spLocks noTextEdit="1"/>
            </xdr:cNvSpPr>
          </xdr:nvSpPr>
          <xdr:spPr>
            <a:xfrm>
              <a:off x="196215" y="-1"/>
              <a:ext cx="2671849" cy="1653402"/>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2</xdr:col>
      <xdr:colOff>468630</xdr:colOff>
      <xdr:row>0</xdr:row>
      <xdr:rowOff>3809</xdr:rowOff>
    </xdr:from>
    <xdr:to>
      <xdr:col>4</xdr:col>
      <xdr:colOff>925830</xdr:colOff>
      <xdr:row>2</xdr:row>
      <xdr:rowOff>67229</xdr:rowOff>
    </xdr:to>
    <mc:AlternateContent xmlns:mc="http://schemas.openxmlformats.org/markup-compatibility/2006" xmlns:sle15="http://schemas.microsoft.com/office/drawing/2012/slicer">
      <mc:Choice Requires="sle15">
        <xdr:graphicFrame macro="">
          <xdr:nvGraphicFramePr>
            <xdr:cNvPr id="3" name="Barcode 3">
              <a:extLst>
                <a:ext uri="{FF2B5EF4-FFF2-40B4-BE49-F238E27FC236}">
                  <a16:creationId xmlns:a16="http://schemas.microsoft.com/office/drawing/2014/main" id="{E766DC29-4E21-4246-90E0-BB5E7E18377A}"/>
                </a:ext>
                <a:ext uri="{147F2762-F138-4A5C-976F-8EAC2B608ADB}">
                  <a16:predDERef xmlns:a16="http://schemas.microsoft.com/office/drawing/2014/main" pred="{469D010D-0600-4FDF-9112-0C6E3CADE64A}"/>
                </a:ext>
              </a:extLst>
            </xdr:cNvPr>
            <xdr:cNvGraphicFramePr/>
          </xdr:nvGraphicFramePr>
          <xdr:xfrm>
            <a:off x="0" y="0"/>
            <a:ext cx="0" cy="0"/>
          </xdr:xfrm>
          <a:graphic>
            <a:graphicData uri="http://schemas.microsoft.com/office/drawing/2010/slicer">
              <sle:slicer xmlns:sle="http://schemas.microsoft.com/office/drawing/2010/slicer" name="Barcode 3"/>
            </a:graphicData>
          </a:graphic>
        </xdr:graphicFrame>
      </mc:Choice>
      <mc:Fallback xmlns="">
        <xdr:sp macro="" textlink="">
          <xdr:nvSpPr>
            <xdr:cNvPr id="0" name=""/>
            <xdr:cNvSpPr>
              <a:spLocks noTextEdit="1"/>
            </xdr:cNvSpPr>
          </xdr:nvSpPr>
          <xdr:spPr>
            <a:xfrm>
              <a:off x="2934739" y="3809"/>
              <a:ext cx="2826327" cy="1670547"/>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4</xdr:col>
      <xdr:colOff>929640</xdr:colOff>
      <xdr:row>0</xdr:row>
      <xdr:rowOff>0</xdr:rowOff>
    </xdr:from>
    <xdr:to>
      <xdr:col>6</xdr:col>
      <xdr:colOff>678180</xdr:colOff>
      <xdr:row>2</xdr:row>
      <xdr:rowOff>68580</xdr:rowOff>
    </xdr:to>
    <mc:AlternateContent xmlns:mc="http://schemas.openxmlformats.org/markup-compatibility/2006" xmlns:sle15="http://schemas.microsoft.com/office/drawing/2012/slicer">
      <mc:Choice Requires="sle15">
        <xdr:graphicFrame macro="">
          <xdr:nvGraphicFramePr>
            <xdr:cNvPr id="5" name="Support&#10;voc4cat:0007825 1">
              <a:extLst>
                <a:ext uri="{FF2B5EF4-FFF2-40B4-BE49-F238E27FC236}">
                  <a16:creationId xmlns:a16="http://schemas.microsoft.com/office/drawing/2014/main" id="{9A538AFE-5541-4BC7-9DDC-03578D1860AE}"/>
                </a:ext>
              </a:extLst>
            </xdr:cNvPr>
            <xdr:cNvGraphicFramePr/>
          </xdr:nvGraphicFramePr>
          <xdr:xfrm>
            <a:off x="0" y="0"/>
            <a:ext cx="0" cy="0"/>
          </xdr:xfrm>
          <a:graphic>
            <a:graphicData uri="http://schemas.microsoft.com/office/drawing/2010/slicer">
              <sle:slicer xmlns:sle="http://schemas.microsoft.com/office/drawing/2010/slicer" name="Support&#10;voc4cat:0007825 1"/>
            </a:graphicData>
          </a:graphic>
        </xdr:graphicFrame>
      </mc:Choice>
      <mc:Fallback xmlns="">
        <xdr:sp macro="" textlink="">
          <xdr:nvSpPr>
            <xdr:cNvPr id="0" name=""/>
            <xdr:cNvSpPr>
              <a:spLocks noTextEdit="1"/>
            </xdr:cNvSpPr>
          </xdr:nvSpPr>
          <xdr:spPr>
            <a:xfrm>
              <a:off x="5764876" y="0"/>
              <a:ext cx="2768831" cy="1675707"/>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Datenschnitt_ID_Number21" sourceName="catalyst barcode  _x000a_(barcode: AFO_/result#AFR:0002690)">
  <extLst>
    <x:ext xmlns:x15="http://schemas.microsoft.com/office/spreadsheetml/2010/11/main" uri="{2F2917AC-EB37-4324-AD4E-5DD8C200BD13}">
      <x15:tableSlicerCache tableId="8" column="1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Datenschnitt_Barcode21" sourceName="identifier  _x000a_dct">
  <extLst>
    <x:ext xmlns:x15="http://schemas.microsoft.com/office/spreadsheetml/2010/11/main" uri="{2F2917AC-EB37-4324-AD4E-5DD8C200BD13}">
      <x15:tableSlicerCache tableId="8"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Datenschnitt_Support_voc4cat_00078251" sourceName="Support  _x000a_voc4cat:0007825">
  <extLst>
    <x:ext xmlns:x15="http://schemas.microsoft.com/office/spreadsheetml/2010/11/main" uri="{2F2917AC-EB37-4324-AD4E-5DD8C200BD13}">
      <x15:tableSlicerCache tableId="8" column="2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D Number 3" cache="Datenschnitt_ID_Number21" caption="catalyst barcode  _x000a_(barcode: AFO_/result#AFR:0002690)" columnCount="2" rowHeight="241300"/>
  <slicer name="Barcode 3" cache="Datenschnitt_Barcode21" caption="identifier  _x000a_dct" columnCount="2" rowHeight="241300"/>
  <slicer name="Support_x000a_voc4cat:0007825 1" cache="Datenschnitt_Support_voc4cat_00078251" caption="Support  _x000a_voc4cat:0007825" columnCount="2" rowHeight="234950"/>
</slicers>
</file>

<file path=xl/tables/table1.xml><?xml version="1.0" encoding="utf-8"?>
<table xmlns="http://schemas.openxmlformats.org/spreadsheetml/2006/main" id="8" name="Tabelle259" displayName="Tabelle259" ref="A4:AD101" totalsRowShown="0" headerRowDxfId="141" dataDxfId="140">
  <autoFilter ref="A4:AD101"/>
  <sortState ref="A5:AD6">
    <sortCondition ref="A4"/>
  </sortState>
  <tableColumns count="30">
    <tableColumn id="17" name="institution_x000a_voc4cat:0007842" dataDxfId="139"/>
    <tableColumn id="11" name="catalyst barcode  _x000a_(barcode: AFO_/result#AFR:0002690)" dataDxfId="138"/>
    <tableColumn id="1" name="identifier  _x000a_dct" dataDxfId="137"/>
    <tableColumn id="16" name="catalyst_x000a_voc4cat:0007014" dataDxfId="136"/>
    <tableColumn id="2" name="Name_x000a_dct:title" dataDxfId="135"/>
    <tableColumn id="22" name="Preparation method_x000a_voc4cat:0007016" dataDxfId="134"/>
    <tableColumn id="21" name="Support  _x000a_voc4cat:0007825" dataDxfId="133"/>
    <tableColumn id="20" name="Support Barcode_x000a_(barcode: AFO_/result#AFR:0002690)" dataDxfId="132"/>
    <tableColumn id="19" name="Support identifier_x000a_dct" dataDxfId="131"/>
    <tableColumn id="3" name="Support shape" dataDxfId="130"/>
    <tableColumn id="62" name="Support Pretreatment_x000a_voc4cat:sample pretreatment voc4cat:0000123" dataDxfId="129"/>
    <tableColumn id="7" name="Precursor 1 _x000a_precursor: voc4cat:0007794" dataDxfId="128"/>
    <tableColumn id="6" name="Precursor 1 _x000a_dct:identifier_x000a_SMILES, InChi or InChiKey" dataDxfId="127"/>
    <tableColumn id="26" name="Precursor 1 amount_x000a_voc4cat:sample mass_x000a_voc4cat:0007038" dataDxfId="126"/>
    <tableColumn id="25" name="Precursor 2 _x000a_precursor: voc4cat:0007794" dataDxfId="125"/>
    <tableColumn id="8" name="Precursor 2 _x000a_dct:identifier_x000a_SMILES, InChi or InChiKey" dataDxfId="124"/>
    <tableColumn id="24" name="Precursor 2 amount_x000a_voc4cat:sample mass_x000a_voc4cat:0007038" dataDxfId="123"/>
    <tableColumn id="30" name="Precursor 3 _x000a_precursor: voc4cat:0007794" dataDxfId="122"/>
    <tableColumn id="10" name="Precursor 3 _x000a_dct:identifier_x000a_SMILES, InChi or InChiKey" dataDxfId="121"/>
    <tableColumn id="29" name="Precursor 3 amount_x000a_voc4cat:sample mass_x000a_voc4cat:0007038" dataDxfId="120"/>
    <tableColumn id="28" name="Precursor 4 _x000a_precursor: voc4cat:0007794" dataDxfId="119"/>
    <tableColumn id="13" name="Precursor 4 _x000a_dct:identifier_x000a_SMILES, InChi or InChiKey" dataDxfId="118"/>
    <tableColumn id="27" name="Precursor 4 amount_x000a_voc4cat:sample mass_x000a_voc4cat:0007038" dataDxfId="117"/>
    <tableColumn id="23" name="additive_x000a_voc4cat:0007793" dataDxfId="116"/>
    <tableColumn id="15" name="additive_x000a_dct:identifier_x000a_SMILES, InChi or InChiKey" dataDxfId="115"/>
    <tableColumn id="9" name="Additive amount_x000a_voc4cat:sample mass_x000a_voc4cat:0007038" dataDxfId="114"/>
    <tableColumn id="45" name="Metal" dataDxfId="113"/>
    <tableColumn id="40" name="Metal loading, nominal (wt%)_x000a_voc4cat:0007815" dataDxfId="112"/>
    <tableColumn id="39" name="molar ratio metal additive" dataDxfId="111"/>
    <tableColumn id="46" name="molar ratio metal metal" dataDxfId="110"/>
  </tableColumns>
  <tableStyleInfo showFirstColumn="0" showLastColumn="0" showRowStripes="1" showColumnStripes="0"/>
</table>
</file>

<file path=xl/tables/table2.xml><?xml version="1.0" encoding="utf-8"?>
<table xmlns="http://schemas.openxmlformats.org/spreadsheetml/2006/main" id="4" name="Tabelle25" displayName="Tabelle25" ref="A4:DD115" totalsRowShown="0" headerRowDxfId="109" dataDxfId="108">
  <autoFilter ref="A4:DD115"/>
  <sortState ref="A5:AI6">
    <sortCondition ref="A4"/>
  </sortState>
  <tableColumns count="108">
    <tableColumn id="17" name="institution_x000a_voc4cat:0007842" dataDxfId="107"/>
    <tableColumn id="11" name="catalyst barcode  _x000a_(barcode: AFO_/result#AFR:0002690)" dataDxfId="106"/>
    <tableColumn id="1" name="identifier  _x000a_dct" dataDxfId="105"/>
    <tableColumn id="16" name="catalyst_x000a_voc4cat:0007014" dataDxfId="104"/>
    <tableColumn id="2" name="Name_x000a_dct:title" dataDxfId="103"/>
    <tableColumn id="22" name="Preparation method_x000a_voc4cat:0007016" dataDxfId="102"/>
    <tableColumn id="21" name="Support  _x000a_voc4cat:0007825" dataDxfId="101"/>
    <tableColumn id="20" name="Support Barcode_x000a_(barcode: AFO_/result#AFR:0002690)" dataDxfId="100"/>
    <tableColumn id="19" name="Support identifier_x000a_dct" dataDxfId="99"/>
    <tableColumn id="3" name="Support shape" dataDxfId="98"/>
    <tableColumn id="62" name="Support Pretreatment_x000a_voc4cat:sample pretreatment voc4cat:0000123" dataDxfId="97"/>
    <tableColumn id="7" name="Precursor 1 _x000a_precursor: voc4cat:0007794" dataDxfId="96"/>
    <tableColumn id="6" name="Precursor 1 _x000a_dct:identifier_x000a_SMILES, InChi or InChiKey" dataDxfId="95"/>
    <tableColumn id="26" name="Precursor 1 amount_x000a_voc4cat:sample mass_x000a_voc4cat:0007038" dataDxfId="94"/>
    <tableColumn id="25" name="Precursor 2 _x000a_precursor: voc4cat:0007794" dataDxfId="93"/>
    <tableColumn id="8" name="Precursor 2 _x000a_dct:identifier_x000a_SMILES, InChi or InChiKey" dataDxfId="92"/>
    <tableColumn id="24" name="Precursor 2 amount_x000a_voc4cat:sample mass_x000a_voc4cat:0007038" dataDxfId="91"/>
    <tableColumn id="30" name="Precursor 3 _x000a_precursor: voc4cat:0007794" dataDxfId="90"/>
    <tableColumn id="10" name="Precursor 3 _x000a_dct:identifier_x000a_SMILES, InChi or InChiKey" dataDxfId="89"/>
    <tableColumn id="29" name="Precursor 3 amount_x000a_voc4cat:sample mass_x000a_voc4cat:0007038" dataDxfId="88"/>
    <tableColumn id="28" name="Precursor 4 _x000a_precursor: voc4cat:0007794" dataDxfId="87"/>
    <tableColumn id="13" name="Precursor 4 _x000a_dct:identifier_x000a_SMILES, InChi or InChiKey" dataDxfId="86"/>
    <tableColumn id="27" name="Precursor 4 amount_x000a_voc4cat:sample mass_x000a_voc4cat:0007038" dataDxfId="85"/>
    <tableColumn id="23" name="additive_x000a_voc4cat:0007793" dataDxfId="84"/>
    <tableColumn id="15" name="additive_x000a_dct:identifier_x000a_SMILES, InChi or InChiKey" dataDxfId="83"/>
    <tableColumn id="9" name="Additive amount_x000a_voc4cat:sample mass_x000a_voc4cat:0007038" dataDxfId="82"/>
    <tableColumn id="4" name="Metal" dataDxfId="81"/>
    <tableColumn id="14" name="Metal loading, nominal (wt%)_x000a_voc4cat:0007815" dataDxfId="80"/>
    <tableColumn id="58" name="molar ratio metal additive" dataDxfId="79"/>
    <tableColumn id="5" name="molar ratio metal metal" dataDxfId="78"/>
    <tableColumn id="12" name="synthesis step" dataDxfId="77"/>
    <tableColumn id="45" name="solvent_x000a_voc4cat:0007246" dataDxfId="76"/>
    <tableColumn id="18" name="solvent_x000a_dct:identifier_x000a_SMILES, InChi or InChiKey" dataDxfId="75"/>
    <tableColumn id="32" name="solvent Volume_x000a_AFO_/result#AFR:0001843" dataDxfId="74"/>
    <tableColumn id="31" name="solubility_x000a_voc4cat:0007839" dataDxfId="73"/>
    <tableColumn id="46" name="synthesis step2" dataDxfId="72"/>
    <tableColumn id="41" name="device_x000a_OBI:0000968" dataDxfId="71"/>
    <tableColumn id="42" name="stirring time_x000a_voc4cat:0007823" dataDxfId="70"/>
    <tableColumn id="43" name="stirring speed_x000a_voc4cat:0007822" dataDxfId="69"/>
    <tableColumn id="44" name="mixing temperature_x000a_voc4cat:0007835" dataDxfId="68"/>
    <tableColumn id="48" name="synthesis step3" dataDxfId="67"/>
    <tableColumn id="54" name="milling device_x000a_voc4cat:00078312" dataDxfId="66"/>
    <tableColumn id="49" name="vessel volume" dataDxfId="65"/>
    <tableColumn id="50" name="size and material" dataDxfId="64"/>
    <tableColumn id="51" name="milling speed_x000a_voc4cat:0007832" dataDxfId="63"/>
    <tableColumn id="52" name="milling duration_x000a_voc4cat:0007831" dataDxfId="62"/>
    <tableColumn id="55" name="synthesis step4" dataDxfId="61"/>
    <tableColumn id="66" name="acid/base2" dataDxfId="60"/>
    <tableColumn id="33" name="acid/base_x000a_dct:identifier_x000a_SMILES, InChi or InChiKey" dataDxfId="59"/>
    <tableColumn id="56" name="sample mass (used to be amount)_x000a_voc4cat:0007038" dataDxfId="58"/>
    <tableColumn id="57" name="target pH" dataDxfId="57"/>
    <tableColumn id="59" name="stirring speed_x000a_voc4cat:00078222" dataDxfId="56"/>
    <tableColumn id="60" name="Temperature_x000a_AFO_/result#AFR:0001584" dataDxfId="55"/>
    <tableColumn id="63" name="synthesis step5" dataDxfId="54"/>
    <tableColumn id="73" name="device_x000a_OBI:000096822" dataDxfId="53"/>
    <tableColumn id="64" name="filter type" dataDxfId="52"/>
    <tableColumn id="65" name="sample mass (used to be amount)_x000a_voc4cat:00070384" dataDxfId="51"/>
    <tableColumn id="68" name="synthesis step6" dataDxfId="50"/>
    <tableColumn id="77" name="solvent 1_x000a_voc4cat:0007246" dataDxfId="49"/>
    <tableColumn id="34" name="solvent 1_x000a_dct:identifier_x000a_SMILES, InChi or InChiKey" dataDxfId="48"/>
    <tableColumn id="69" name="solvent 1 volume" dataDxfId="47"/>
    <tableColumn id="70" name="solvent 2_x000a_voc4cat:0007246 " dataDxfId="46"/>
    <tableColumn id="35" name="solvent 2_x000a_dct:identifier_x000a_SMILES, InChi or InChiKey" dataDxfId="45"/>
    <tableColumn id="71" name="solvent 2 volume" dataDxfId="44"/>
    <tableColumn id="72" name="synthesis duration_x000a_voc4cat:00000503" dataDxfId="43"/>
    <tableColumn id="74" name="synthesis step7" dataDxfId="42"/>
    <tableColumn id="78" name="solvent_x000a_voc4cat:00072463" dataDxfId="41"/>
    <tableColumn id="36" name="solvent_x000a_dct:identifier_x000a_SMILES, InChi or InChiKey2" dataDxfId="40"/>
    <tableColumn id="75" name="solvent Volume_x000a_AFO_/result#AFR:00018432" dataDxfId="39"/>
    <tableColumn id="76" name="repetitions" dataDxfId="38"/>
    <tableColumn id="79" name="synthesis step8" dataDxfId="37"/>
    <tableColumn id="82" name="solvent_x000a_voc4cat:00072464" dataDxfId="36"/>
    <tableColumn id="37" name="solvent_x000a_dct:identifier_x000a_SMILES, InChi or InChiKey3" dataDxfId="35"/>
    <tableColumn id="80" name="solvent Volume_x000a_AFO_/result#AFR:00018433" dataDxfId="34"/>
    <tableColumn id="81" name="final concentration" dataDxfId="33"/>
    <tableColumn id="84" name="synthesis step9" dataDxfId="32"/>
    <tableColumn id="83" name="impregnation_x000a_voc4cat:00070282" dataDxfId="31"/>
    <tableColumn id="91" name="sample mass (used to be amount)_x000a_voc4cat:00070382" dataDxfId="30"/>
    <tableColumn id="92" name="solvent_x000a_voc4cat:00072462" dataDxfId="29"/>
    <tableColumn id="38" name="solvent_x000a_dct:identifier_x000a_SMILES, InChi or InChiKey4" dataDxfId="28"/>
    <tableColumn id="93" name="solvent Volume_x000a_AFO_/result#AFR:00018434" dataDxfId="27"/>
    <tableColumn id="97" name="synthesis step10" dataDxfId="26"/>
    <tableColumn id="85" name="device_x000a_OBI:000096834" dataDxfId="25"/>
    <tableColumn id="98" name="Temperature_x000a_AFO_/result#AFR:00015842" dataDxfId="24"/>
    <tableColumn id="99" name="temperature ramp" dataDxfId="23"/>
    <tableColumn id="100" name="synthesis duration_x000a_voc4cat:00000502" dataDxfId="22"/>
    <tableColumn id="105" name="synthesis step11" dataDxfId="21"/>
    <tableColumn id="86" name="calcination gaseous environment_x000a_voc4cat:00000552" dataDxfId="20"/>
    <tableColumn id="107" name="gas_x000a_dct:identifier_x000a_SMILES, InChi or InChiKey" dataDxfId="19"/>
    <tableColumn id="110" name="calcination gas flow rate_x000a_voc4cat:0000056" dataDxfId="18"/>
    <tableColumn id="111" name="calcination initial temperature_x000a_voc4cat:0000057" dataDxfId="17"/>
    <tableColumn id="112" name="calcination final temperature_x000a_voc4cat:0000058" dataDxfId="16"/>
    <tableColumn id="113" name="calcination heating rate_x000a_voc4cat:0000059" dataDxfId="15"/>
    <tableColumn id="114" name="calcination dwelling time_x000a_voc4cat:0000060" dataDxfId="14"/>
    <tableColumn id="117" name="synthesis step12" dataDxfId="13"/>
    <tableColumn id="87" name="Device_x000a_OBI:0000968322" dataDxfId="12"/>
    <tableColumn id="118" name="sieve fraction_x000a_voc4cat:0007022" dataDxfId="11"/>
    <tableColumn id="119" name="sample mass (used to be amount)_x000a_voc4cat:00070383" dataDxfId="10"/>
    <tableColumn id="120" name="Pressure_x000a_AFO_/result#AFR:0001918" dataDxfId="9"/>
    <tableColumn id="121" name="synthesis duration_x000a_voc4cat:00000504" dataDxfId="8"/>
    <tableColumn id="124" name="synthesis step13" dataDxfId="7"/>
    <tableColumn id="88" name="Device_x000a_OBI:0000968332" dataDxfId="6"/>
    <tableColumn id="127" name="Stamp" dataDxfId="5"/>
    <tableColumn id="131" name="Pressure_x000a_AFO_/result#AFR:00019182" dataDxfId="4"/>
    <tableColumn id="132" name="Pellet size" dataDxfId="3"/>
    <tableColumn id="134" name="catalyst mass_x000a_voc4cat:0007792" dataDxfId="2"/>
    <tableColumn id="135" name="Additive_x000a_voc4cat:00077932" dataDxfId="1"/>
    <tableColumn id="136" name="Amount of additive" dataDxfId="0"/>
  </tableColumns>
  <tableStyleInfo showFirstColumn="0" showLastColumn="0" showRowStripes="1" showColumnStripes="0"/>
</table>
</file>

<file path=xl/tables/table3.xml><?xml version="1.0" encoding="utf-8"?>
<table xmlns="http://schemas.openxmlformats.org/spreadsheetml/2006/main" id="7" name="Tabelle7" displayName="Tabelle7" ref="A1:E16345" totalsRowShown="0">
  <autoFilter ref="A1:E16345"/>
  <sortState ref="A2:E90">
    <sortCondition ref="A1:A16345"/>
  </sortState>
  <tableColumns count="5">
    <tableColumn id="1" name="Concept"/>
    <tableColumn id="2" name="IRI"/>
    <tableColumn id="3" name="Spalte1"/>
    <tableColumn id="4" name="Other vocabs"/>
    <tableColumn id="5" name="Spalte2"/>
  </tableColumns>
  <tableStyleInfo name="TableStyleLight9"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Y101"/>
  <sheetViews>
    <sheetView zoomScale="55" zoomScaleNormal="55" workbookViewId="0">
      <pane ySplit="4" topLeftCell="A5" activePane="bottomLeft" state="frozen"/>
      <selection pane="bottomLeft" activeCell="A6" sqref="A6"/>
    </sheetView>
  </sheetViews>
  <sheetFormatPr baseColWidth="10" defaultColWidth="11.42578125" defaultRowHeight="15" customHeight="1"/>
  <cols>
    <col min="1" max="1" width="16.140625" bestFit="1" customWidth="1"/>
    <col min="2" max="2" width="19.7109375" bestFit="1" customWidth="1"/>
    <col min="3" max="3" width="14.42578125" bestFit="1" customWidth="1"/>
    <col min="4" max="4" width="20" bestFit="1" customWidth="1"/>
    <col min="5" max="5" width="24.42578125" customWidth="1"/>
    <col min="6" max="6" width="19.7109375" bestFit="1" customWidth="1"/>
    <col min="7" max="7" width="23.7109375" bestFit="1" customWidth="1"/>
    <col min="8" max="8" width="16.28515625" bestFit="1" customWidth="1"/>
    <col min="9" max="9" width="50.85546875" customWidth="1"/>
    <col min="10" max="10" width="23.28515625" bestFit="1" customWidth="1"/>
    <col min="11" max="11" width="23.28515625" customWidth="1"/>
    <col min="12" max="12" width="29.5703125" bestFit="1" customWidth="1"/>
    <col min="13" max="16" width="29.5703125" customWidth="1"/>
    <col min="17" max="17" width="21.5703125" bestFit="1" customWidth="1"/>
    <col min="18" max="18" width="15.140625" bestFit="1" customWidth="1"/>
    <col min="19" max="19" width="15.140625" customWidth="1"/>
    <col min="20" max="20" width="21.5703125" bestFit="1" customWidth="1"/>
    <col min="21" max="21" width="15.140625" bestFit="1" customWidth="1"/>
    <col min="22" max="22" width="15.140625" customWidth="1"/>
    <col min="23" max="23" width="21.5703125" bestFit="1" customWidth="1"/>
    <col min="24" max="25" width="29.5703125" customWidth="1"/>
    <col min="26" max="26" width="25.140625" bestFit="1" customWidth="1"/>
    <col min="27" max="28" width="25.140625" customWidth="1"/>
    <col min="29" max="29" width="38.140625" bestFit="1" customWidth="1"/>
    <col min="30" max="30" width="35.28515625" bestFit="1" customWidth="1"/>
  </cols>
  <sheetData>
    <row r="1" spans="1:207" ht="111.6" customHeight="1"/>
    <row r="2" spans="1:207" s="1" customFormat="1" ht="15" customHeight="1">
      <c r="A2" s="34" t="s">
        <v>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row>
    <row r="3" spans="1:207" s="20" customFormat="1" ht="18.75">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row>
    <row r="4" spans="1:207" s="28" customFormat="1" ht="60">
      <c r="A4" s="24" t="s">
        <v>166</v>
      </c>
      <c r="B4" s="24" t="s">
        <v>167</v>
      </c>
      <c r="C4" s="24" t="s">
        <v>168</v>
      </c>
      <c r="D4" s="24" t="s">
        <v>169</v>
      </c>
      <c r="E4" s="26" t="s">
        <v>242</v>
      </c>
      <c r="F4" s="24" t="s">
        <v>170</v>
      </c>
      <c r="G4" s="24" t="s">
        <v>171</v>
      </c>
      <c r="H4" s="24" t="s">
        <v>172</v>
      </c>
      <c r="I4" s="24" t="s">
        <v>173</v>
      </c>
      <c r="J4" s="26" t="s">
        <v>165</v>
      </c>
      <c r="K4" s="24" t="s">
        <v>174</v>
      </c>
      <c r="L4" s="24" t="s">
        <v>175</v>
      </c>
      <c r="M4" s="24" t="s">
        <v>176</v>
      </c>
      <c r="N4" s="24" t="s">
        <v>177</v>
      </c>
      <c r="O4" s="24" t="s">
        <v>178</v>
      </c>
      <c r="P4" s="24" t="s">
        <v>179</v>
      </c>
      <c r="Q4" s="24" t="s">
        <v>180</v>
      </c>
      <c r="R4" s="24" t="s">
        <v>181</v>
      </c>
      <c r="S4" s="24" t="s">
        <v>182</v>
      </c>
      <c r="T4" s="24" t="s">
        <v>183</v>
      </c>
      <c r="U4" s="24" t="s">
        <v>184</v>
      </c>
      <c r="V4" s="24" t="s">
        <v>185</v>
      </c>
      <c r="W4" s="24" t="s">
        <v>186</v>
      </c>
      <c r="X4" s="24" t="s">
        <v>187</v>
      </c>
      <c r="Y4" s="24" t="s">
        <v>188</v>
      </c>
      <c r="Z4" s="24" t="s">
        <v>189</v>
      </c>
      <c r="AA4" s="27" t="s">
        <v>4</v>
      </c>
      <c r="AB4" s="24" t="s">
        <v>190</v>
      </c>
      <c r="AC4" s="27" t="s">
        <v>233</v>
      </c>
      <c r="AD4" s="27" t="s">
        <v>164</v>
      </c>
    </row>
    <row r="5" spans="1:207" s="5" customFormat="1" ht="18" customHeight="1">
      <c r="A5" s="7" t="str">
        <f>Tabelle25[[#This Row],[institution
voc4cat:0007842]]</f>
        <v>KIT</v>
      </c>
      <c r="B5" s="7">
        <f>Tabelle25[[#This Row],[catalyst barcode  
(barcode: AFO_/result'#AFR:0002690)]]</f>
        <v>0</v>
      </c>
      <c r="C5" s="7" t="str">
        <f>Tabelle25[[#This Row],[identifier  
dct]]</f>
        <v>ARNE</v>
      </c>
      <c r="D5" s="7" t="str">
        <f>Tabelle25[[#This Row],[catalyst
voc4cat:0007014]]</f>
        <v>heterogeneous catalyst</v>
      </c>
      <c r="E5" s="7" t="str">
        <f>Tabelle25[[#This Row],[Name
dct:title]]</f>
        <v>publication name</v>
      </c>
      <c r="F5" s="7" t="str">
        <f>Tabelle25[[#This Row],[Preparation method
voc4cat:0007016]]</f>
        <v>solvothermal synthesis</v>
      </c>
      <c r="G5" s="7">
        <f>Tabelle25[[#This Row],[Support  
voc4cat:0007825]]</f>
        <v>0</v>
      </c>
      <c r="H5" s="7">
        <f>Tabelle25[[#This Row],[Support Barcode
(barcode: AFO_/result'#AFR:0002690)]]</f>
        <v>0</v>
      </c>
      <c r="I5" s="7">
        <f>Tabelle25[[#This Row],[Support identifier
dct]]</f>
        <v>0</v>
      </c>
      <c r="J5" s="7">
        <f>Tabelle25[[#This Row],[Support shape]]</f>
        <v>0</v>
      </c>
      <c r="K5" s="7">
        <f>Tabelle25[[#This Row],[Support Pretreatment
voc4cat:sample pretreatment voc4cat:0000123]]</f>
        <v>0</v>
      </c>
      <c r="L5" s="7">
        <f>Tabelle25[[#This Row],[Precursor 1 
precursor: voc4cat:0007794]]</f>
        <v>0</v>
      </c>
      <c r="M5" s="7">
        <f>Tabelle25[[#This Row],[Precursor 1 
dct:identifier
SMILES, InChi or InChiKey]]</f>
        <v>0</v>
      </c>
      <c r="N5" s="7">
        <f>Tabelle25[[#This Row],[Precursor 1 amount
voc4cat:sample mass
voc4cat:0007038]]</f>
        <v>0</v>
      </c>
      <c r="O5" s="7">
        <f>Tabelle25[[#This Row],[Precursor 2 
precursor: voc4cat:0007794]]</f>
        <v>0</v>
      </c>
      <c r="P5" s="7">
        <f>Tabelle25[[#This Row],[Precursor 2 
dct:identifier
SMILES, InChi or InChiKey]]</f>
        <v>0</v>
      </c>
      <c r="Q5" s="7">
        <f>Tabelle25[[#This Row],[Precursor 2 amount
voc4cat:sample mass
voc4cat:0007038]]</f>
        <v>0</v>
      </c>
      <c r="R5" s="7">
        <f>Tabelle25[[#This Row],[Precursor 3 
precursor: voc4cat:0007794]]</f>
        <v>0</v>
      </c>
      <c r="S5" s="7">
        <f>Tabelle25[[#This Row],[Precursor 3 
dct:identifier
SMILES, InChi or InChiKey]]</f>
        <v>0</v>
      </c>
      <c r="T5" s="7">
        <f>Tabelle25[[#This Row],[Precursor 3 amount
voc4cat:sample mass
voc4cat:0007038]]</f>
        <v>0</v>
      </c>
      <c r="U5" s="7">
        <f>Tabelle25[[#This Row],[Precursor 4 
precursor: voc4cat:0007794]]</f>
        <v>0</v>
      </c>
      <c r="V5" s="7">
        <f>Tabelle25[[#This Row],[Precursor 4 
dct:identifier
SMILES, InChi or InChiKey]]</f>
        <v>0</v>
      </c>
      <c r="W5" s="7">
        <f>Tabelle25[[#This Row],[Precursor 4 amount
voc4cat:sample mass
voc4cat:0007038]]</f>
        <v>0</v>
      </c>
      <c r="X5" s="7">
        <f>Tabelle25[[#This Row],[additive
voc4cat:0007793]]</f>
        <v>0</v>
      </c>
      <c r="Y5" s="7">
        <f>Tabelle25[[#This Row],[additive
dct:identifier
SMILES, InChi or InChiKey]]</f>
        <v>0</v>
      </c>
      <c r="Z5" s="7">
        <f>Tabelle25[[#This Row],[Additive amount
voc4cat:sample mass
voc4cat:0007038]]</f>
        <v>0</v>
      </c>
      <c r="AA5" s="7" t="str">
        <f>Tabelle25[[#This Row],[Metal]]</f>
        <v>Pd</v>
      </c>
      <c r="AB5" s="7">
        <f>Tabelle25[[#This Row],[Metal loading, nominal (wt%)
voc4cat:0007815]]</f>
        <v>0</v>
      </c>
      <c r="AC5" s="7">
        <f>Tabelle25[[#This Row],[molar ratio metal additive]]</f>
        <v>0</v>
      </c>
      <c r="AD5" s="7">
        <f>Tabelle25[[#This Row],[molar ratio metal metal]]</f>
        <v>0</v>
      </c>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row>
    <row r="6" spans="1:207" s="5" customFormat="1" ht="18" customHeight="1">
      <c r="A6" s="7">
        <f>Tabelle25[[#This Row],[institution
voc4cat:0007842]]</f>
        <v>0</v>
      </c>
      <c r="B6" s="7">
        <f>Tabelle25[[#This Row],[catalyst barcode  
(barcode: AFO_/result'#AFR:0002690)]]</f>
        <v>0</v>
      </c>
      <c r="C6" s="7">
        <f>Tabelle25[[#This Row],[identifier  
dct]]</f>
        <v>0</v>
      </c>
      <c r="D6" s="7">
        <f>Tabelle25[[#This Row],[catalyst
voc4cat:0007014]]</f>
        <v>0</v>
      </c>
      <c r="E6" s="7">
        <f>Tabelle25[[#This Row],[Name
dct:title]]</f>
        <v>0</v>
      </c>
      <c r="F6" s="7" t="str">
        <f>Tabelle25[[#This Row],[Preparation method
voc4cat:0007016]]</f>
        <v>flame spray pyrolysis</v>
      </c>
      <c r="G6" s="7">
        <f>Tabelle25[[#This Row],[Support  
voc4cat:0007825]]</f>
        <v>0</v>
      </c>
      <c r="H6" s="7">
        <f>Tabelle25[[#This Row],[Support Barcode
(barcode: AFO_/result'#AFR:0002690)]]</f>
        <v>0</v>
      </c>
      <c r="I6" s="7">
        <f>Tabelle25[[#This Row],[Support identifier
dct]]</f>
        <v>0</v>
      </c>
      <c r="J6" s="7">
        <f>Tabelle25[[#This Row],[Support shape]]</f>
        <v>0</v>
      </c>
      <c r="K6" s="7">
        <f>Tabelle25[[#This Row],[Support Pretreatment
voc4cat:sample pretreatment voc4cat:0000123]]</f>
        <v>0</v>
      </c>
      <c r="L6" s="7">
        <f>Tabelle25[[#This Row],[Precursor 1 
precursor: voc4cat:0007794]]</f>
        <v>0</v>
      </c>
      <c r="M6" s="7">
        <f>Tabelle25[[#This Row],[Precursor 1 
dct:identifier
SMILES, InChi or InChiKey]]</f>
        <v>0</v>
      </c>
      <c r="N6" s="7">
        <f>Tabelle25[[#This Row],[Precursor 1 amount
voc4cat:sample mass
voc4cat:0007038]]</f>
        <v>0</v>
      </c>
      <c r="O6" s="7">
        <f>Tabelle25[[#This Row],[Precursor 2 
precursor: voc4cat:0007794]]</f>
        <v>0</v>
      </c>
      <c r="P6" s="7">
        <f>Tabelle25[[#This Row],[Precursor 2 
dct:identifier
SMILES, InChi or InChiKey]]</f>
        <v>0</v>
      </c>
      <c r="Q6" s="7">
        <f>Tabelle25[[#This Row],[Precursor 2 amount
voc4cat:sample mass
voc4cat:0007038]]</f>
        <v>0</v>
      </c>
      <c r="R6" s="7">
        <f>Tabelle25[[#This Row],[Precursor 3 
precursor: voc4cat:0007794]]</f>
        <v>0</v>
      </c>
      <c r="S6" s="7">
        <f>Tabelle25[[#This Row],[Precursor 3 
dct:identifier
SMILES, InChi or InChiKey]]</f>
        <v>0</v>
      </c>
      <c r="T6" s="7">
        <f>Tabelle25[[#This Row],[Precursor 3 amount
voc4cat:sample mass
voc4cat:0007038]]</f>
        <v>0</v>
      </c>
      <c r="U6" s="7">
        <f>Tabelle25[[#This Row],[Precursor 4 
precursor: voc4cat:0007794]]</f>
        <v>0</v>
      </c>
      <c r="V6" s="7">
        <f>Tabelle25[[#This Row],[Precursor 4 
dct:identifier
SMILES, InChi or InChiKey]]</f>
        <v>0</v>
      </c>
      <c r="W6" s="7">
        <f>Tabelle25[[#This Row],[Precursor 4 amount
voc4cat:sample mass
voc4cat:0007038]]</f>
        <v>0</v>
      </c>
      <c r="X6" s="7">
        <f>Tabelle25[[#This Row],[additive
voc4cat:0007793]]</f>
        <v>0</v>
      </c>
      <c r="Y6" s="7">
        <f>Tabelle25[[#This Row],[additive
dct:identifier
SMILES, InChi or InChiKey]]</f>
        <v>0</v>
      </c>
      <c r="Z6" s="7">
        <f>Tabelle25[[#This Row],[Additive amount
voc4cat:sample mass
voc4cat:0007038]]</f>
        <v>0</v>
      </c>
      <c r="AA6" s="7">
        <f>Tabelle25[[#This Row],[Metal]]</f>
        <v>0</v>
      </c>
      <c r="AB6" s="7">
        <f>Tabelle25[[#This Row],[Metal loading, nominal (wt%)
voc4cat:0007815]]</f>
        <v>0</v>
      </c>
      <c r="AC6" s="7">
        <f>Tabelle25[[#This Row],[molar ratio metal additive]]</f>
        <v>0</v>
      </c>
      <c r="AD6" s="7">
        <f>Tabelle25[[#This Row],[molar ratio metal metal]]</f>
        <v>0</v>
      </c>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row>
    <row r="7" spans="1:207" s="5" customFormat="1" ht="18" customHeight="1">
      <c r="A7" s="7">
        <f>Tabelle25[[#This Row],[institution
voc4cat:0007842]]</f>
        <v>0</v>
      </c>
      <c r="B7" s="7">
        <f>Tabelle25[[#This Row],[catalyst barcode  
(barcode: AFO_/result'#AFR:0002690)]]</f>
        <v>0</v>
      </c>
      <c r="C7" s="7">
        <f>Tabelle25[[#This Row],[identifier  
dct]]</f>
        <v>0</v>
      </c>
      <c r="D7" s="7">
        <f>Tabelle25[[#This Row],[catalyst
voc4cat:0007014]]</f>
        <v>0</v>
      </c>
      <c r="E7" s="7">
        <f>Tabelle25[[#This Row],[Name
dct:title]]</f>
        <v>0</v>
      </c>
      <c r="F7" s="7">
        <f>Tabelle25[[#This Row],[Preparation method
voc4cat:0007016]]</f>
        <v>0</v>
      </c>
      <c r="G7" s="7">
        <f>Tabelle25[[#This Row],[Support  
voc4cat:0007825]]</f>
        <v>0</v>
      </c>
      <c r="H7" s="7">
        <f>Tabelle25[[#This Row],[Support Barcode
(barcode: AFO_/result'#AFR:0002690)]]</f>
        <v>0</v>
      </c>
      <c r="I7" s="7">
        <f>Tabelle25[[#This Row],[Support identifier
dct]]</f>
        <v>0</v>
      </c>
      <c r="J7" s="7">
        <f>Tabelle25[[#This Row],[Support shape]]</f>
        <v>0</v>
      </c>
      <c r="K7" s="7">
        <f>Tabelle25[[#This Row],[Support Pretreatment
voc4cat:sample pretreatment voc4cat:0000123]]</f>
        <v>0</v>
      </c>
      <c r="L7" s="7">
        <f>Tabelle25[[#This Row],[Precursor 1 
precursor: voc4cat:0007794]]</f>
        <v>0</v>
      </c>
      <c r="M7" s="7">
        <f>Tabelle25[[#This Row],[Precursor 1 
dct:identifier
SMILES, InChi or InChiKey]]</f>
        <v>0</v>
      </c>
      <c r="N7" s="7">
        <f>Tabelle25[[#This Row],[Precursor 1 amount
voc4cat:sample mass
voc4cat:0007038]]</f>
        <v>0</v>
      </c>
      <c r="O7" s="7">
        <f>Tabelle25[[#This Row],[Precursor 2 
precursor: voc4cat:0007794]]</f>
        <v>0</v>
      </c>
      <c r="P7" s="7">
        <f>Tabelle25[[#This Row],[Precursor 2 
dct:identifier
SMILES, InChi or InChiKey]]</f>
        <v>0</v>
      </c>
      <c r="Q7" s="7">
        <f>Tabelle25[[#This Row],[Precursor 2 amount
voc4cat:sample mass
voc4cat:0007038]]</f>
        <v>0</v>
      </c>
      <c r="R7" s="7">
        <f>Tabelle25[[#This Row],[Precursor 3 
precursor: voc4cat:0007794]]</f>
        <v>0</v>
      </c>
      <c r="S7" s="7">
        <f>Tabelle25[[#This Row],[Precursor 3 
dct:identifier
SMILES, InChi or InChiKey]]</f>
        <v>0</v>
      </c>
      <c r="T7" s="7">
        <f>Tabelle25[[#This Row],[Precursor 3 amount
voc4cat:sample mass
voc4cat:0007038]]</f>
        <v>0</v>
      </c>
      <c r="U7" s="7">
        <f>Tabelle25[[#This Row],[Precursor 4 
precursor: voc4cat:0007794]]</f>
        <v>0</v>
      </c>
      <c r="V7" s="7">
        <f>Tabelle25[[#This Row],[Precursor 4 
dct:identifier
SMILES, InChi or InChiKey]]</f>
        <v>0</v>
      </c>
      <c r="W7" s="7">
        <f>Tabelle25[[#This Row],[Precursor 4 amount
voc4cat:sample mass
voc4cat:0007038]]</f>
        <v>0</v>
      </c>
      <c r="X7" s="7">
        <f>Tabelle25[[#This Row],[additive
voc4cat:0007793]]</f>
        <v>0</v>
      </c>
      <c r="Y7" s="7">
        <f>Tabelle25[[#This Row],[additive
dct:identifier
SMILES, InChi or InChiKey]]</f>
        <v>0</v>
      </c>
      <c r="Z7" s="7">
        <f>Tabelle25[[#This Row],[Additive amount
voc4cat:sample mass
voc4cat:0007038]]</f>
        <v>0</v>
      </c>
      <c r="AA7" s="7">
        <f>Tabelle25[[#This Row],[Metal]]</f>
        <v>0</v>
      </c>
      <c r="AB7" s="7">
        <f>Tabelle25[[#This Row],[Metal loading, nominal (wt%)
voc4cat:0007815]]</f>
        <v>0</v>
      </c>
      <c r="AC7" s="7">
        <f>Tabelle25[[#This Row],[molar ratio metal additive]]</f>
        <v>0</v>
      </c>
      <c r="AD7" s="7">
        <f>Tabelle25[[#This Row],[molar ratio metal metal]]</f>
        <v>0</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row>
    <row r="8" spans="1:207" s="5" customFormat="1" ht="18" customHeight="1">
      <c r="A8" s="7">
        <f>Tabelle25[[#This Row],[institution
voc4cat:0007842]]</f>
        <v>0</v>
      </c>
      <c r="B8" s="7">
        <f>Tabelle25[[#This Row],[catalyst barcode  
(barcode: AFO_/result'#AFR:0002690)]]</f>
        <v>0</v>
      </c>
      <c r="C8" s="7">
        <f>Tabelle25[[#This Row],[identifier  
dct]]</f>
        <v>0</v>
      </c>
      <c r="D8" s="7">
        <f>Tabelle25[[#This Row],[catalyst
voc4cat:0007014]]</f>
        <v>0</v>
      </c>
      <c r="E8" s="7">
        <f>Tabelle25[[#This Row],[Name
dct:title]]</f>
        <v>0</v>
      </c>
      <c r="F8" s="7">
        <f>Tabelle25[[#This Row],[Preparation method
voc4cat:0007016]]</f>
        <v>0</v>
      </c>
      <c r="G8" s="7">
        <f>Tabelle25[[#This Row],[Support  
voc4cat:0007825]]</f>
        <v>0</v>
      </c>
      <c r="H8" s="7">
        <f>Tabelle25[[#This Row],[Support Barcode
(barcode: AFO_/result'#AFR:0002690)]]</f>
        <v>0</v>
      </c>
      <c r="I8" s="7">
        <f>Tabelle25[[#This Row],[Support identifier
dct]]</f>
        <v>0</v>
      </c>
      <c r="J8" s="7">
        <f>Tabelle25[[#This Row],[Support shape]]</f>
        <v>0</v>
      </c>
      <c r="K8" s="7">
        <f>Tabelle25[[#This Row],[Support Pretreatment
voc4cat:sample pretreatment voc4cat:0000123]]</f>
        <v>0</v>
      </c>
      <c r="L8" s="7">
        <f>Tabelle25[[#This Row],[Precursor 1 
precursor: voc4cat:0007794]]</f>
        <v>0</v>
      </c>
      <c r="M8" s="7">
        <f>Tabelle25[[#This Row],[Precursor 1 
dct:identifier
SMILES, InChi or InChiKey]]</f>
        <v>0</v>
      </c>
      <c r="N8" s="7">
        <f>Tabelle25[[#This Row],[Precursor 1 amount
voc4cat:sample mass
voc4cat:0007038]]</f>
        <v>0</v>
      </c>
      <c r="O8" s="7">
        <f>Tabelle25[[#This Row],[Precursor 2 
precursor: voc4cat:0007794]]</f>
        <v>0</v>
      </c>
      <c r="P8" s="7">
        <f>Tabelle25[[#This Row],[Precursor 2 
dct:identifier
SMILES, InChi or InChiKey]]</f>
        <v>0</v>
      </c>
      <c r="Q8" s="7">
        <f>Tabelle25[[#This Row],[Precursor 2 amount
voc4cat:sample mass
voc4cat:0007038]]</f>
        <v>0</v>
      </c>
      <c r="R8" s="7">
        <f>Tabelle25[[#This Row],[Precursor 3 
precursor: voc4cat:0007794]]</f>
        <v>0</v>
      </c>
      <c r="S8" s="7">
        <f>Tabelle25[[#This Row],[Precursor 3 
dct:identifier
SMILES, InChi or InChiKey]]</f>
        <v>0</v>
      </c>
      <c r="T8" s="7">
        <f>Tabelle25[[#This Row],[Precursor 3 amount
voc4cat:sample mass
voc4cat:0007038]]</f>
        <v>0</v>
      </c>
      <c r="U8" s="7">
        <f>Tabelle25[[#This Row],[Precursor 4 
precursor: voc4cat:0007794]]</f>
        <v>0</v>
      </c>
      <c r="V8" s="7">
        <f>Tabelle25[[#This Row],[Precursor 4 
dct:identifier
SMILES, InChi or InChiKey]]</f>
        <v>0</v>
      </c>
      <c r="W8" s="7">
        <f>Tabelle25[[#This Row],[Precursor 4 amount
voc4cat:sample mass
voc4cat:0007038]]</f>
        <v>0</v>
      </c>
      <c r="X8" s="7">
        <f>Tabelle25[[#This Row],[additive
voc4cat:0007793]]</f>
        <v>0</v>
      </c>
      <c r="Y8" s="7">
        <f>Tabelle25[[#This Row],[additive
dct:identifier
SMILES, InChi or InChiKey]]</f>
        <v>0</v>
      </c>
      <c r="Z8" s="7">
        <f>Tabelle25[[#This Row],[Additive amount
voc4cat:sample mass
voc4cat:0007038]]</f>
        <v>0</v>
      </c>
      <c r="AA8" s="7">
        <f>Tabelle25[[#This Row],[Metal]]</f>
        <v>0</v>
      </c>
      <c r="AB8" s="7">
        <f>Tabelle25[[#This Row],[Metal loading, nominal (wt%)
voc4cat:0007815]]</f>
        <v>0</v>
      </c>
      <c r="AC8" s="7">
        <f>Tabelle25[[#This Row],[molar ratio metal additive]]</f>
        <v>0</v>
      </c>
      <c r="AD8" s="7">
        <f>Tabelle25[[#This Row],[molar ratio metal metal]]</f>
        <v>0</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row>
    <row r="9" spans="1:207" s="5" customFormat="1" ht="18" customHeight="1">
      <c r="A9" s="7">
        <f>Tabelle25[[#This Row],[institution
voc4cat:0007842]]</f>
        <v>0</v>
      </c>
      <c r="B9" s="7">
        <f>Tabelle25[[#This Row],[catalyst barcode  
(barcode: AFO_/result'#AFR:0002690)]]</f>
        <v>0</v>
      </c>
      <c r="C9" s="7">
        <f>Tabelle25[[#This Row],[identifier  
dct]]</f>
        <v>0</v>
      </c>
      <c r="D9" s="7">
        <f>Tabelle25[[#This Row],[catalyst
voc4cat:0007014]]</f>
        <v>0</v>
      </c>
      <c r="E9" s="7">
        <f>Tabelle25[[#This Row],[Name
dct:title]]</f>
        <v>0</v>
      </c>
      <c r="F9" s="7">
        <f>Tabelle25[[#This Row],[Preparation method
voc4cat:0007016]]</f>
        <v>0</v>
      </c>
      <c r="G9" s="7">
        <f>Tabelle25[[#This Row],[Support  
voc4cat:0007825]]</f>
        <v>0</v>
      </c>
      <c r="H9" s="7">
        <f>Tabelle25[[#This Row],[Support Barcode
(barcode: AFO_/result'#AFR:0002690)]]</f>
        <v>0</v>
      </c>
      <c r="I9" s="7">
        <f>Tabelle25[[#This Row],[Support identifier
dct]]</f>
        <v>0</v>
      </c>
      <c r="J9" s="7">
        <f>Tabelle25[[#This Row],[Support shape]]</f>
        <v>0</v>
      </c>
      <c r="K9" s="7">
        <f>Tabelle25[[#This Row],[Support Pretreatment
voc4cat:sample pretreatment voc4cat:0000123]]</f>
        <v>0</v>
      </c>
      <c r="L9" s="7">
        <f>Tabelle25[[#This Row],[Precursor 1 
precursor: voc4cat:0007794]]</f>
        <v>0</v>
      </c>
      <c r="M9" s="7">
        <f>Tabelle25[[#This Row],[Precursor 1 
dct:identifier
SMILES, InChi or InChiKey]]</f>
        <v>0</v>
      </c>
      <c r="N9" s="7">
        <f>Tabelle25[[#This Row],[Precursor 1 amount
voc4cat:sample mass
voc4cat:0007038]]</f>
        <v>0</v>
      </c>
      <c r="O9" s="7">
        <f>Tabelle25[[#This Row],[Precursor 2 
precursor: voc4cat:0007794]]</f>
        <v>0</v>
      </c>
      <c r="P9" s="7">
        <f>Tabelle25[[#This Row],[Precursor 2 
dct:identifier
SMILES, InChi or InChiKey]]</f>
        <v>0</v>
      </c>
      <c r="Q9" s="7">
        <f>Tabelle25[[#This Row],[Precursor 2 amount
voc4cat:sample mass
voc4cat:0007038]]</f>
        <v>0</v>
      </c>
      <c r="R9" s="7">
        <f>Tabelle25[[#This Row],[Precursor 3 
precursor: voc4cat:0007794]]</f>
        <v>0</v>
      </c>
      <c r="S9" s="7">
        <f>Tabelle25[[#This Row],[Precursor 3 
dct:identifier
SMILES, InChi or InChiKey]]</f>
        <v>0</v>
      </c>
      <c r="T9" s="7">
        <f>Tabelle25[[#This Row],[Precursor 3 amount
voc4cat:sample mass
voc4cat:0007038]]</f>
        <v>0</v>
      </c>
      <c r="U9" s="7">
        <f>Tabelle25[[#This Row],[Precursor 4 
precursor: voc4cat:0007794]]</f>
        <v>0</v>
      </c>
      <c r="V9" s="7">
        <f>Tabelle25[[#This Row],[Precursor 4 
dct:identifier
SMILES, InChi or InChiKey]]</f>
        <v>0</v>
      </c>
      <c r="W9" s="7">
        <f>Tabelle25[[#This Row],[Precursor 4 amount
voc4cat:sample mass
voc4cat:0007038]]</f>
        <v>0</v>
      </c>
      <c r="X9" s="7">
        <f>Tabelle25[[#This Row],[additive
voc4cat:0007793]]</f>
        <v>0</v>
      </c>
      <c r="Y9" s="7">
        <f>Tabelle25[[#This Row],[additive
dct:identifier
SMILES, InChi or InChiKey]]</f>
        <v>0</v>
      </c>
      <c r="Z9" s="7">
        <f>Tabelle25[[#This Row],[Additive amount
voc4cat:sample mass
voc4cat:0007038]]</f>
        <v>0</v>
      </c>
      <c r="AA9" s="7">
        <f>Tabelle25[[#This Row],[Metal]]</f>
        <v>0</v>
      </c>
      <c r="AB9" s="7">
        <f>Tabelle25[[#This Row],[Metal loading, nominal (wt%)
voc4cat:0007815]]</f>
        <v>0</v>
      </c>
      <c r="AC9" s="7">
        <f>Tabelle25[[#This Row],[molar ratio metal additive]]</f>
        <v>0</v>
      </c>
      <c r="AD9" s="7">
        <f>Tabelle25[[#This Row],[molar ratio metal metal]]</f>
        <v>0</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row>
    <row r="10" spans="1:207" s="5" customFormat="1" ht="18" customHeight="1">
      <c r="A10" s="7">
        <f>Tabelle25[[#This Row],[institution
voc4cat:0007842]]</f>
        <v>0</v>
      </c>
      <c r="B10" s="7">
        <f>Tabelle25[[#This Row],[catalyst barcode  
(barcode: AFO_/result'#AFR:0002690)]]</f>
        <v>0</v>
      </c>
      <c r="C10" s="7">
        <f>Tabelle25[[#This Row],[identifier  
dct]]</f>
        <v>0</v>
      </c>
      <c r="D10" s="7">
        <f>Tabelle25[[#This Row],[catalyst
voc4cat:0007014]]</f>
        <v>0</v>
      </c>
      <c r="E10" s="7">
        <f>Tabelle25[[#This Row],[Name
dct:title]]</f>
        <v>0</v>
      </c>
      <c r="F10" s="7">
        <f>Tabelle25[[#This Row],[Preparation method
voc4cat:0007016]]</f>
        <v>0</v>
      </c>
      <c r="G10" s="7">
        <f>Tabelle25[[#This Row],[Support  
voc4cat:0007825]]</f>
        <v>0</v>
      </c>
      <c r="H10" s="7">
        <f>Tabelle25[[#This Row],[Support Barcode
(barcode: AFO_/result'#AFR:0002690)]]</f>
        <v>0</v>
      </c>
      <c r="I10" s="7">
        <f>Tabelle25[[#This Row],[Support identifier
dct]]</f>
        <v>0</v>
      </c>
      <c r="J10" s="7">
        <f>Tabelle25[[#This Row],[Support shape]]</f>
        <v>0</v>
      </c>
      <c r="K10" s="7">
        <f>Tabelle25[[#This Row],[Support Pretreatment
voc4cat:sample pretreatment voc4cat:0000123]]</f>
        <v>0</v>
      </c>
      <c r="L10" s="7">
        <f>Tabelle25[[#This Row],[Precursor 1 
precursor: voc4cat:0007794]]</f>
        <v>0</v>
      </c>
      <c r="M10" s="7">
        <f>Tabelle25[[#This Row],[Precursor 1 
dct:identifier
SMILES, InChi or InChiKey]]</f>
        <v>0</v>
      </c>
      <c r="N10" s="7">
        <f>Tabelle25[[#This Row],[Precursor 1 amount
voc4cat:sample mass
voc4cat:0007038]]</f>
        <v>0</v>
      </c>
      <c r="O10" s="7">
        <f>Tabelle25[[#This Row],[Precursor 2 
precursor: voc4cat:0007794]]</f>
        <v>0</v>
      </c>
      <c r="P10" s="7">
        <f>Tabelle25[[#This Row],[Precursor 2 
dct:identifier
SMILES, InChi or InChiKey]]</f>
        <v>0</v>
      </c>
      <c r="Q10" s="7">
        <f>Tabelle25[[#This Row],[Precursor 2 amount
voc4cat:sample mass
voc4cat:0007038]]</f>
        <v>0</v>
      </c>
      <c r="R10" s="7">
        <f>Tabelle25[[#This Row],[Precursor 3 
precursor: voc4cat:0007794]]</f>
        <v>0</v>
      </c>
      <c r="S10" s="7">
        <f>Tabelle25[[#This Row],[Precursor 3 
dct:identifier
SMILES, InChi or InChiKey]]</f>
        <v>0</v>
      </c>
      <c r="T10" s="7">
        <f>Tabelle25[[#This Row],[Precursor 3 amount
voc4cat:sample mass
voc4cat:0007038]]</f>
        <v>0</v>
      </c>
      <c r="U10" s="7">
        <f>Tabelle25[[#This Row],[Precursor 4 
precursor: voc4cat:0007794]]</f>
        <v>0</v>
      </c>
      <c r="V10" s="7">
        <f>Tabelle25[[#This Row],[Precursor 4 
dct:identifier
SMILES, InChi or InChiKey]]</f>
        <v>0</v>
      </c>
      <c r="W10" s="7">
        <f>Tabelle25[[#This Row],[Precursor 4 amount
voc4cat:sample mass
voc4cat:0007038]]</f>
        <v>0</v>
      </c>
      <c r="X10" s="7">
        <f>Tabelle25[[#This Row],[additive
voc4cat:0007793]]</f>
        <v>0</v>
      </c>
      <c r="Y10" s="7">
        <f>Tabelle25[[#This Row],[additive
dct:identifier
SMILES, InChi or InChiKey]]</f>
        <v>0</v>
      </c>
      <c r="Z10" s="7">
        <f>Tabelle25[[#This Row],[Additive amount
voc4cat:sample mass
voc4cat:0007038]]</f>
        <v>0</v>
      </c>
      <c r="AA10" s="7">
        <f>Tabelle25[[#This Row],[Metal]]</f>
        <v>0</v>
      </c>
      <c r="AB10" s="7">
        <f>Tabelle25[[#This Row],[Metal loading, nominal (wt%)
voc4cat:0007815]]</f>
        <v>0</v>
      </c>
      <c r="AC10" s="7">
        <f>Tabelle25[[#This Row],[molar ratio metal additive]]</f>
        <v>0</v>
      </c>
      <c r="AD10" s="7">
        <f>Tabelle25[[#This Row],[molar ratio metal metal]]</f>
        <v>0</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row>
    <row r="11" spans="1:207" s="5" customFormat="1" ht="18" customHeight="1">
      <c r="A11" s="7">
        <f>Tabelle25[[#This Row],[institution
voc4cat:0007842]]</f>
        <v>0</v>
      </c>
      <c r="B11" s="7">
        <f>Tabelle25[[#This Row],[catalyst barcode  
(barcode: AFO_/result'#AFR:0002690)]]</f>
        <v>0</v>
      </c>
      <c r="C11" s="7">
        <f>Tabelle25[[#This Row],[identifier  
dct]]</f>
        <v>0</v>
      </c>
      <c r="D11" s="7">
        <f>Tabelle25[[#This Row],[catalyst
voc4cat:0007014]]</f>
        <v>0</v>
      </c>
      <c r="E11" s="7">
        <f>Tabelle25[[#This Row],[Name
dct:title]]</f>
        <v>0</v>
      </c>
      <c r="F11" s="7">
        <f>Tabelle25[[#This Row],[Preparation method
voc4cat:0007016]]</f>
        <v>0</v>
      </c>
      <c r="G11" s="7">
        <f>Tabelle25[[#This Row],[Support  
voc4cat:0007825]]</f>
        <v>0</v>
      </c>
      <c r="H11" s="7">
        <f>Tabelle25[[#This Row],[Support Barcode
(barcode: AFO_/result'#AFR:0002690)]]</f>
        <v>0</v>
      </c>
      <c r="I11" s="7">
        <f>Tabelle25[[#This Row],[Support identifier
dct]]</f>
        <v>0</v>
      </c>
      <c r="J11" s="7">
        <f>Tabelle25[[#This Row],[Support shape]]</f>
        <v>0</v>
      </c>
      <c r="K11" s="7">
        <f>Tabelle25[[#This Row],[Support Pretreatment
voc4cat:sample pretreatment voc4cat:0000123]]</f>
        <v>0</v>
      </c>
      <c r="L11" s="7">
        <f>Tabelle25[[#This Row],[Precursor 1 
precursor: voc4cat:0007794]]</f>
        <v>0</v>
      </c>
      <c r="M11" s="7">
        <f>Tabelle25[[#This Row],[Precursor 1 
dct:identifier
SMILES, InChi or InChiKey]]</f>
        <v>0</v>
      </c>
      <c r="N11" s="7">
        <f>Tabelle25[[#This Row],[Precursor 1 amount
voc4cat:sample mass
voc4cat:0007038]]</f>
        <v>0</v>
      </c>
      <c r="O11" s="7">
        <f>Tabelle25[[#This Row],[Precursor 2 
precursor: voc4cat:0007794]]</f>
        <v>0</v>
      </c>
      <c r="P11" s="7">
        <f>Tabelle25[[#This Row],[Precursor 2 
dct:identifier
SMILES, InChi or InChiKey]]</f>
        <v>0</v>
      </c>
      <c r="Q11" s="7">
        <f>Tabelle25[[#This Row],[Precursor 2 amount
voc4cat:sample mass
voc4cat:0007038]]</f>
        <v>0</v>
      </c>
      <c r="R11" s="7">
        <f>Tabelle25[[#This Row],[Precursor 3 
precursor: voc4cat:0007794]]</f>
        <v>0</v>
      </c>
      <c r="S11" s="7">
        <f>Tabelle25[[#This Row],[Precursor 3 
dct:identifier
SMILES, InChi or InChiKey]]</f>
        <v>0</v>
      </c>
      <c r="T11" s="7">
        <f>Tabelle25[[#This Row],[Precursor 3 amount
voc4cat:sample mass
voc4cat:0007038]]</f>
        <v>0</v>
      </c>
      <c r="U11" s="7">
        <f>Tabelle25[[#This Row],[Precursor 4 
precursor: voc4cat:0007794]]</f>
        <v>0</v>
      </c>
      <c r="V11" s="7">
        <f>Tabelle25[[#This Row],[Precursor 4 
dct:identifier
SMILES, InChi or InChiKey]]</f>
        <v>0</v>
      </c>
      <c r="W11" s="7">
        <f>Tabelle25[[#This Row],[Precursor 4 amount
voc4cat:sample mass
voc4cat:0007038]]</f>
        <v>0</v>
      </c>
      <c r="X11" s="7">
        <f>Tabelle25[[#This Row],[additive
voc4cat:0007793]]</f>
        <v>0</v>
      </c>
      <c r="Y11" s="7">
        <f>Tabelle25[[#This Row],[additive
dct:identifier
SMILES, InChi or InChiKey]]</f>
        <v>0</v>
      </c>
      <c r="Z11" s="7">
        <f>Tabelle25[[#This Row],[Additive amount
voc4cat:sample mass
voc4cat:0007038]]</f>
        <v>0</v>
      </c>
      <c r="AA11" s="7">
        <f>Tabelle25[[#This Row],[Metal]]</f>
        <v>0</v>
      </c>
      <c r="AB11" s="7">
        <f>Tabelle25[[#This Row],[Metal loading, nominal (wt%)
voc4cat:0007815]]</f>
        <v>0</v>
      </c>
      <c r="AC11" s="7">
        <f>Tabelle25[[#This Row],[molar ratio metal additive]]</f>
        <v>0</v>
      </c>
      <c r="AD11" s="7">
        <f>Tabelle25[[#This Row],[molar ratio metal metal]]</f>
        <v>0</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row>
    <row r="12" spans="1:207" s="5" customFormat="1" ht="18" customHeight="1">
      <c r="A12" s="7">
        <f>Tabelle25[[#This Row],[institution
voc4cat:0007842]]</f>
        <v>0</v>
      </c>
      <c r="B12" s="7">
        <f>Tabelle25[[#This Row],[catalyst barcode  
(barcode: AFO_/result'#AFR:0002690)]]</f>
        <v>0</v>
      </c>
      <c r="C12" s="7">
        <f>Tabelle25[[#This Row],[identifier  
dct]]</f>
        <v>0</v>
      </c>
      <c r="D12" s="7">
        <f>Tabelle25[[#This Row],[catalyst
voc4cat:0007014]]</f>
        <v>0</v>
      </c>
      <c r="E12" s="7">
        <f>Tabelle25[[#This Row],[Name
dct:title]]</f>
        <v>0</v>
      </c>
      <c r="F12" s="7">
        <f>Tabelle25[[#This Row],[Preparation method
voc4cat:0007016]]</f>
        <v>0</v>
      </c>
      <c r="G12" s="7">
        <f>Tabelle25[[#This Row],[Support  
voc4cat:0007825]]</f>
        <v>0</v>
      </c>
      <c r="H12" s="7">
        <f>Tabelle25[[#This Row],[Support Barcode
(barcode: AFO_/result'#AFR:0002690)]]</f>
        <v>0</v>
      </c>
      <c r="I12" s="7">
        <f>Tabelle25[[#This Row],[Support identifier
dct]]</f>
        <v>0</v>
      </c>
      <c r="J12" s="7">
        <f>Tabelle25[[#This Row],[Support shape]]</f>
        <v>0</v>
      </c>
      <c r="K12" s="7">
        <f>Tabelle25[[#This Row],[Support Pretreatment
voc4cat:sample pretreatment voc4cat:0000123]]</f>
        <v>0</v>
      </c>
      <c r="L12" s="7">
        <f>Tabelle25[[#This Row],[Precursor 1 
precursor: voc4cat:0007794]]</f>
        <v>0</v>
      </c>
      <c r="M12" s="7">
        <f>Tabelle25[[#This Row],[Precursor 1 
dct:identifier
SMILES, InChi or InChiKey]]</f>
        <v>0</v>
      </c>
      <c r="N12" s="7">
        <f>Tabelle25[[#This Row],[Precursor 1 amount
voc4cat:sample mass
voc4cat:0007038]]</f>
        <v>0</v>
      </c>
      <c r="O12" s="7">
        <f>Tabelle25[[#This Row],[Precursor 2 
precursor: voc4cat:0007794]]</f>
        <v>0</v>
      </c>
      <c r="P12" s="7">
        <f>Tabelle25[[#This Row],[Precursor 2 
dct:identifier
SMILES, InChi or InChiKey]]</f>
        <v>0</v>
      </c>
      <c r="Q12" s="7">
        <f>Tabelle25[[#This Row],[Precursor 2 amount
voc4cat:sample mass
voc4cat:0007038]]</f>
        <v>0</v>
      </c>
      <c r="R12" s="7">
        <f>Tabelle25[[#This Row],[Precursor 3 
precursor: voc4cat:0007794]]</f>
        <v>0</v>
      </c>
      <c r="S12" s="7">
        <f>Tabelle25[[#This Row],[Precursor 3 
dct:identifier
SMILES, InChi or InChiKey]]</f>
        <v>0</v>
      </c>
      <c r="T12" s="7">
        <f>Tabelle25[[#This Row],[Precursor 3 amount
voc4cat:sample mass
voc4cat:0007038]]</f>
        <v>0</v>
      </c>
      <c r="U12" s="7">
        <f>Tabelle25[[#This Row],[Precursor 4 
precursor: voc4cat:0007794]]</f>
        <v>0</v>
      </c>
      <c r="V12" s="7">
        <f>Tabelle25[[#This Row],[Precursor 4 
dct:identifier
SMILES, InChi or InChiKey]]</f>
        <v>0</v>
      </c>
      <c r="W12" s="7">
        <f>Tabelle25[[#This Row],[Precursor 4 amount
voc4cat:sample mass
voc4cat:0007038]]</f>
        <v>0</v>
      </c>
      <c r="X12" s="7">
        <f>Tabelle25[[#This Row],[additive
voc4cat:0007793]]</f>
        <v>0</v>
      </c>
      <c r="Y12" s="7">
        <f>Tabelle25[[#This Row],[additive
dct:identifier
SMILES, InChi or InChiKey]]</f>
        <v>0</v>
      </c>
      <c r="Z12" s="7">
        <f>Tabelle25[[#This Row],[Additive amount
voc4cat:sample mass
voc4cat:0007038]]</f>
        <v>0</v>
      </c>
      <c r="AA12" s="7">
        <f>Tabelle25[[#This Row],[Metal]]</f>
        <v>0</v>
      </c>
      <c r="AB12" s="7">
        <f>Tabelle25[[#This Row],[Metal loading, nominal (wt%)
voc4cat:0007815]]</f>
        <v>0</v>
      </c>
      <c r="AC12" s="7">
        <f>Tabelle25[[#This Row],[molar ratio metal additive]]</f>
        <v>0</v>
      </c>
      <c r="AD12" s="7">
        <f>Tabelle25[[#This Row],[molar ratio metal metal]]</f>
        <v>0</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row>
    <row r="13" spans="1:207" s="5" customFormat="1" ht="18" customHeight="1">
      <c r="A13" s="7">
        <f>Tabelle25[[#This Row],[institution
voc4cat:0007842]]</f>
        <v>0</v>
      </c>
      <c r="B13" s="7">
        <f>Tabelle25[[#This Row],[catalyst barcode  
(barcode: AFO_/result'#AFR:0002690)]]</f>
        <v>0</v>
      </c>
      <c r="C13" s="7">
        <f>Tabelle25[[#This Row],[identifier  
dct]]</f>
        <v>0</v>
      </c>
      <c r="D13" s="7">
        <f>Tabelle25[[#This Row],[catalyst
voc4cat:0007014]]</f>
        <v>0</v>
      </c>
      <c r="E13" s="7">
        <f>Tabelle25[[#This Row],[Name
dct:title]]</f>
        <v>0</v>
      </c>
      <c r="F13" s="7">
        <f>Tabelle25[[#This Row],[Preparation method
voc4cat:0007016]]</f>
        <v>0</v>
      </c>
      <c r="G13" s="7">
        <f>Tabelle25[[#This Row],[Support  
voc4cat:0007825]]</f>
        <v>0</v>
      </c>
      <c r="H13" s="7">
        <f>Tabelle25[[#This Row],[Support Barcode
(barcode: AFO_/result'#AFR:0002690)]]</f>
        <v>0</v>
      </c>
      <c r="I13" s="7">
        <f>Tabelle25[[#This Row],[Support identifier
dct]]</f>
        <v>0</v>
      </c>
      <c r="J13" s="7">
        <f>Tabelle25[[#This Row],[Support shape]]</f>
        <v>0</v>
      </c>
      <c r="K13" s="7">
        <f>Tabelle25[[#This Row],[Support Pretreatment
voc4cat:sample pretreatment voc4cat:0000123]]</f>
        <v>0</v>
      </c>
      <c r="L13" s="7">
        <f>Tabelle25[[#This Row],[Precursor 1 
precursor: voc4cat:0007794]]</f>
        <v>0</v>
      </c>
      <c r="M13" s="7">
        <f>Tabelle25[[#This Row],[Precursor 1 
dct:identifier
SMILES, InChi or InChiKey]]</f>
        <v>0</v>
      </c>
      <c r="N13" s="7">
        <f>Tabelle25[[#This Row],[Precursor 1 amount
voc4cat:sample mass
voc4cat:0007038]]</f>
        <v>0</v>
      </c>
      <c r="O13" s="7">
        <f>Tabelle25[[#This Row],[Precursor 2 
precursor: voc4cat:0007794]]</f>
        <v>0</v>
      </c>
      <c r="P13" s="7">
        <f>Tabelle25[[#This Row],[Precursor 2 
dct:identifier
SMILES, InChi or InChiKey]]</f>
        <v>0</v>
      </c>
      <c r="Q13" s="7">
        <f>Tabelle25[[#This Row],[Precursor 2 amount
voc4cat:sample mass
voc4cat:0007038]]</f>
        <v>0</v>
      </c>
      <c r="R13" s="7">
        <f>Tabelle25[[#This Row],[Precursor 3 
precursor: voc4cat:0007794]]</f>
        <v>0</v>
      </c>
      <c r="S13" s="7">
        <f>Tabelle25[[#This Row],[Precursor 3 
dct:identifier
SMILES, InChi or InChiKey]]</f>
        <v>0</v>
      </c>
      <c r="T13" s="7">
        <f>Tabelle25[[#This Row],[Precursor 3 amount
voc4cat:sample mass
voc4cat:0007038]]</f>
        <v>0</v>
      </c>
      <c r="U13" s="7">
        <f>Tabelle25[[#This Row],[Precursor 4 
precursor: voc4cat:0007794]]</f>
        <v>0</v>
      </c>
      <c r="V13" s="7">
        <f>Tabelle25[[#This Row],[Precursor 4 
dct:identifier
SMILES, InChi or InChiKey]]</f>
        <v>0</v>
      </c>
      <c r="W13" s="7">
        <f>Tabelle25[[#This Row],[Precursor 4 amount
voc4cat:sample mass
voc4cat:0007038]]</f>
        <v>0</v>
      </c>
      <c r="X13" s="7">
        <f>Tabelle25[[#This Row],[additive
voc4cat:0007793]]</f>
        <v>0</v>
      </c>
      <c r="Y13" s="7">
        <f>Tabelle25[[#This Row],[additive
dct:identifier
SMILES, InChi or InChiKey]]</f>
        <v>0</v>
      </c>
      <c r="Z13" s="7">
        <f>Tabelle25[[#This Row],[Additive amount
voc4cat:sample mass
voc4cat:0007038]]</f>
        <v>0</v>
      </c>
      <c r="AA13" s="7">
        <f>Tabelle25[[#This Row],[Metal]]</f>
        <v>0</v>
      </c>
      <c r="AB13" s="7">
        <f>Tabelle25[[#This Row],[Metal loading, nominal (wt%)
voc4cat:0007815]]</f>
        <v>0</v>
      </c>
      <c r="AC13" s="7">
        <f>Tabelle25[[#This Row],[molar ratio metal additive]]</f>
        <v>0</v>
      </c>
      <c r="AD13" s="7">
        <f>Tabelle25[[#This Row],[molar ratio metal metal]]</f>
        <v>0</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row>
    <row r="14" spans="1:207" s="5" customFormat="1" ht="18" customHeight="1">
      <c r="A14" s="7">
        <f>Tabelle25[[#This Row],[institution
voc4cat:0007842]]</f>
        <v>0</v>
      </c>
      <c r="B14" s="7">
        <f>Tabelle25[[#This Row],[catalyst barcode  
(barcode: AFO_/result'#AFR:0002690)]]</f>
        <v>0</v>
      </c>
      <c r="C14" s="7">
        <f>Tabelle25[[#This Row],[identifier  
dct]]</f>
        <v>0</v>
      </c>
      <c r="D14" s="7">
        <f>Tabelle25[[#This Row],[catalyst
voc4cat:0007014]]</f>
        <v>0</v>
      </c>
      <c r="E14" s="7">
        <f>Tabelle25[[#This Row],[Name
dct:title]]</f>
        <v>0</v>
      </c>
      <c r="F14" s="7">
        <f>Tabelle25[[#This Row],[Preparation method
voc4cat:0007016]]</f>
        <v>0</v>
      </c>
      <c r="G14" s="7">
        <f>Tabelle25[[#This Row],[Support  
voc4cat:0007825]]</f>
        <v>0</v>
      </c>
      <c r="H14" s="7">
        <f>Tabelle25[[#This Row],[Support Barcode
(barcode: AFO_/result'#AFR:0002690)]]</f>
        <v>0</v>
      </c>
      <c r="I14" s="7">
        <f>Tabelle25[[#This Row],[Support identifier
dct]]</f>
        <v>0</v>
      </c>
      <c r="J14" s="7">
        <f>Tabelle25[[#This Row],[Support shape]]</f>
        <v>0</v>
      </c>
      <c r="K14" s="7">
        <f>Tabelle25[[#This Row],[Support Pretreatment
voc4cat:sample pretreatment voc4cat:0000123]]</f>
        <v>0</v>
      </c>
      <c r="L14" s="7">
        <f>Tabelle25[[#This Row],[Precursor 1 
precursor: voc4cat:0007794]]</f>
        <v>0</v>
      </c>
      <c r="M14" s="7">
        <f>Tabelle25[[#This Row],[Precursor 1 
dct:identifier
SMILES, InChi or InChiKey]]</f>
        <v>0</v>
      </c>
      <c r="N14" s="7">
        <f>Tabelle25[[#This Row],[Precursor 1 amount
voc4cat:sample mass
voc4cat:0007038]]</f>
        <v>0</v>
      </c>
      <c r="O14" s="7">
        <f>Tabelle25[[#This Row],[Precursor 2 
precursor: voc4cat:0007794]]</f>
        <v>0</v>
      </c>
      <c r="P14" s="7">
        <f>Tabelle25[[#This Row],[Precursor 2 
dct:identifier
SMILES, InChi or InChiKey]]</f>
        <v>0</v>
      </c>
      <c r="Q14" s="7">
        <f>Tabelle25[[#This Row],[Precursor 2 amount
voc4cat:sample mass
voc4cat:0007038]]</f>
        <v>0</v>
      </c>
      <c r="R14" s="7">
        <f>Tabelle25[[#This Row],[Precursor 3 
precursor: voc4cat:0007794]]</f>
        <v>0</v>
      </c>
      <c r="S14" s="7">
        <f>Tabelle25[[#This Row],[Precursor 3 
dct:identifier
SMILES, InChi or InChiKey]]</f>
        <v>0</v>
      </c>
      <c r="T14" s="7">
        <f>Tabelle25[[#This Row],[Precursor 3 amount
voc4cat:sample mass
voc4cat:0007038]]</f>
        <v>0</v>
      </c>
      <c r="U14" s="7">
        <f>Tabelle25[[#This Row],[Precursor 4 
precursor: voc4cat:0007794]]</f>
        <v>0</v>
      </c>
      <c r="V14" s="7">
        <f>Tabelle25[[#This Row],[Precursor 4 
dct:identifier
SMILES, InChi or InChiKey]]</f>
        <v>0</v>
      </c>
      <c r="W14" s="7">
        <f>Tabelle25[[#This Row],[Precursor 4 amount
voc4cat:sample mass
voc4cat:0007038]]</f>
        <v>0</v>
      </c>
      <c r="X14" s="7">
        <f>Tabelle25[[#This Row],[additive
voc4cat:0007793]]</f>
        <v>0</v>
      </c>
      <c r="Y14" s="7">
        <f>Tabelle25[[#This Row],[additive
dct:identifier
SMILES, InChi or InChiKey]]</f>
        <v>0</v>
      </c>
      <c r="Z14" s="7">
        <f>Tabelle25[[#This Row],[Additive amount
voc4cat:sample mass
voc4cat:0007038]]</f>
        <v>0</v>
      </c>
      <c r="AA14" s="7">
        <f>Tabelle25[[#This Row],[Metal]]</f>
        <v>0</v>
      </c>
      <c r="AB14" s="7">
        <f>Tabelle25[[#This Row],[Metal loading, nominal (wt%)
voc4cat:0007815]]</f>
        <v>0</v>
      </c>
      <c r="AC14" s="7">
        <f>Tabelle25[[#This Row],[molar ratio metal additive]]</f>
        <v>0</v>
      </c>
      <c r="AD14" s="7">
        <f>Tabelle25[[#This Row],[molar ratio metal metal]]</f>
        <v>0</v>
      </c>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row>
    <row r="15" spans="1:207" s="5" customFormat="1" ht="18" customHeight="1">
      <c r="A15" s="7">
        <f>Tabelle25[[#This Row],[institution
voc4cat:0007842]]</f>
        <v>0</v>
      </c>
      <c r="B15" s="7">
        <f>Tabelle25[[#This Row],[catalyst barcode  
(barcode: AFO_/result'#AFR:0002690)]]</f>
        <v>0</v>
      </c>
      <c r="C15" s="7">
        <f>Tabelle25[[#This Row],[identifier  
dct]]</f>
        <v>0</v>
      </c>
      <c r="D15" s="7">
        <f>Tabelle25[[#This Row],[catalyst
voc4cat:0007014]]</f>
        <v>0</v>
      </c>
      <c r="E15" s="7">
        <f>Tabelle25[[#This Row],[Name
dct:title]]</f>
        <v>0</v>
      </c>
      <c r="F15" s="7">
        <f>Tabelle25[[#This Row],[Preparation method
voc4cat:0007016]]</f>
        <v>0</v>
      </c>
      <c r="G15" s="7">
        <f>Tabelle25[[#This Row],[Support  
voc4cat:0007825]]</f>
        <v>0</v>
      </c>
      <c r="H15" s="7">
        <f>Tabelle25[[#This Row],[Support Barcode
(barcode: AFO_/result'#AFR:0002690)]]</f>
        <v>0</v>
      </c>
      <c r="I15" s="7">
        <f>Tabelle25[[#This Row],[Support identifier
dct]]</f>
        <v>0</v>
      </c>
      <c r="J15" s="7">
        <f>Tabelle25[[#This Row],[Support shape]]</f>
        <v>0</v>
      </c>
      <c r="K15" s="7">
        <f>Tabelle25[[#This Row],[Support Pretreatment
voc4cat:sample pretreatment voc4cat:0000123]]</f>
        <v>0</v>
      </c>
      <c r="L15" s="7">
        <f>Tabelle25[[#This Row],[Precursor 1 
precursor: voc4cat:0007794]]</f>
        <v>0</v>
      </c>
      <c r="M15" s="7">
        <f>Tabelle25[[#This Row],[Precursor 1 
dct:identifier
SMILES, InChi or InChiKey]]</f>
        <v>0</v>
      </c>
      <c r="N15" s="7">
        <f>Tabelle25[[#This Row],[Precursor 1 amount
voc4cat:sample mass
voc4cat:0007038]]</f>
        <v>0</v>
      </c>
      <c r="O15" s="7">
        <f>Tabelle25[[#This Row],[Precursor 2 
precursor: voc4cat:0007794]]</f>
        <v>0</v>
      </c>
      <c r="P15" s="7">
        <f>Tabelle25[[#This Row],[Precursor 2 
dct:identifier
SMILES, InChi or InChiKey]]</f>
        <v>0</v>
      </c>
      <c r="Q15" s="7">
        <f>Tabelle25[[#This Row],[Precursor 2 amount
voc4cat:sample mass
voc4cat:0007038]]</f>
        <v>0</v>
      </c>
      <c r="R15" s="7">
        <f>Tabelle25[[#This Row],[Precursor 3 
precursor: voc4cat:0007794]]</f>
        <v>0</v>
      </c>
      <c r="S15" s="7">
        <f>Tabelle25[[#This Row],[Precursor 3 
dct:identifier
SMILES, InChi or InChiKey]]</f>
        <v>0</v>
      </c>
      <c r="T15" s="7">
        <f>Tabelle25[[#This Row],[Precursor 3 amount
voc4cat:sample mass
voc4cat:0007038]]</f>
        <v>0</v>
      </c>
      <c r="U15" s="7">
        <f>Tabelle25[[#This Row],[Precursor 4 
precursor: voc4cat:0007794]]</f>
        <v>0</v>
      </c>
      <c r="V15" s="7">
        <f>Tabelle25[[#This Row],[Precursor 4 
dct:identifier
SMILES, InChi or InChiKey]]</f>
        <v>0</v>
      </c>
      <c r="W15" s="7">
        <f>Tabelle25[[#This Row],[Precursor 4 amount
voc4cat:sample mass
voc4cat:0007038]]</f>
        <v>0</v>
      </c>
      <c r="X15" s="7">
        <f>Tabelle25[[#This Row],[additive
voc4cat:0007793]]</f>
        <v>0</v>
      </c>
      <c r="Y15" s="7">
        <f>Tabelle25[[#This Row],[additive
dct:identifier
SMILES, InChi or InChiKey]]</f>
        <v>0</v>
      </c>
      <c r="Z15" s="7">
        <f>Tabelle25[[#This Row],[Additive amount
voc4cat:sample mass
voc4cat:0007038]]</f>
        <v>0</v>
      </c>
      <c r="AA15" s="7">
        <f>Tabelle25[[#This Row],[Metal]]</f>
        <v>0</v>
      </c>
      <c r="AB15" s="7">
        <f>Tabelle25[[#This Row],[Metal loading, nominal (wt%)
voc4cat:0007815]]</f>
        <v>0</v>
      </c>
      <c r="AC15" s="7">
        <f>Tabelle25[[#This Row],[molar ratio metal additive]]</f>
        <v>0</v>
      </c>
      <c r="AD15" s="7">
        <f>Tabelle25[[#This Row],[molar ratio metal metal]]</f>
        <v>0</v>
      </c>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row>
    <row r="16" spans="1:207" s="5" customFormat="1" ht="18" customHeight="1">
      <c r="A16" s="7">
        <f>Tabelle25[[#This Row],[institution
voc4cat:0007842]]</f>
        <v>0</v>
      </c>
      <c r="B16" s="7">
        <f>Tabelle25[[#This Row],[catalyst barcode  
(barcode: AFO_/result'#AFR:0002690)]]</f>
        <v>0</v>
      </c>
      <c r="C16" s="7">
        <f>Tabelle25[[#This Row],[identifier  
dct]]</f>
        <v>0</v>
      </c>
      <c r="D16" s="7">
        <f>Tabelle25[[#This Row],[catalyst
voc4cat:0007014]]</f>
        <v>0</v>
      </c>
      <c r="E16" s="7">
        <f>Tabelle25[[#This Row],[Name
dct:title]]</f>
        <v>0</v>
      </c>
      <c r="F16" s="7">
        <f>Tabelle25[[#This Row],[Preparation method
voc4cat:0007016]]</f>
        <v>0</v>
      </c>
      <c r="G16" s="7">
        <f>Tabelle25[[#This Row],[Support  
voc4cat:0007825]]</f>
        <v>0</v>
      </c>
      <c r="H16" s="7">
        <f>Tabelle25[[#This Row],[Support Barcode
(barcode: AFO_/result'#AFR:0002690)]]</f>
        <v>0</v>
      </c>
      <c r="I16" s="7">
        <f>Tabelle25[[#This Row],[Support identifier
dct]]</f>
        <v>0</v>
      </c>
      <c r="J16" s="7">
        <f>Tabelle25[[#This Row],[Support shape]]</f>
        <v>0</v>
      </c>
      <c r="K16" s="7">
        <f>Tabelle25[[#This Row],[Support Pretreatment
voc4cat:sample pretreatment voc4cat:0000123]]</f>
        <v>0</v>
      </c>
      <c r="L16" s="7">
        <f>Tabelle25[[#This Row],[Precursor 1 
precursor: voc4cat:0007794]]</f>
        <v>0</v>
      </c>
      <c r="M16" s="7">
        <f>Tabelle25[[#This Row],[Precursor 1 
dct:identifier
SMILES, InChi or InChiKey]]</f>
        <v>0</v>
      </c>
      <c r="N16" s="7">
        <f>Tabelle25[[#This Row],[Precursor 1 amount
voc4cat:sample mass
voc4cat:0007038]]</f>
        <v>0</v>
      </c>
      <c r="O16" s="7">
        <f>Tabelle25[[#This Row],[Precursor 2 
precursor: voc4cat:0007794]]</f>
        <v>0</v>
      </c>
      <c r="P16" s="7">
        <f>Tabelle25[[#This Row],[Precursor 2 
dct:identifier
SMILES, InChi or InChiKey]]</f>
        <v>0</v>
      </c>
      <c r="Q16" s="7">
        <f>Tabelle25[[#This Row],[Precursor 2 amount
voc4cat:sample mass
voc4cat:0007038]]</f>
        <v>0</v>
      </c>
      <c r="R16" s="7">
        <f>Tabelle25[[#This Row],[Precursor 3 
precursor: voc4cat:0007794]]</f>
        <v>0</v>
      </c>
      <c r="S16" s="7">
        <f>Tabelle25[[#This Row],[Precursor 3 
dct:identifier
SMILES, InChi or InChiKey]]</f>
        <v>0</v>
      </c>
      <c r="T16" s="7">
        <f>Tabelle25[[#This Row],[Precursor 3 amount
voc4cat:sample mass
voc4cat:0007038]]</f>
        <v>0</v>
      </c>
      <c r="U16" s="7">
        <f>Tabelle25[[#This Row],[Precursor 4 
precursor: voc4cat:0007794]]</f>
        <v>0</v>
      </c>
      <c r="V16" s="7">
        <f>Tabelle25[[#This Row],[Precursor 4 
dct:identifier
SMILES, InChi or InChiKey]]</f>
        <v>0</v>
      </c>
      <c r="W16" s="7">
        <f>Tabelle25[[#This Row],[Precursor 4 amount
voc4cat:sample mass
voc4cat:0007038]]</f>
        <v>0</v>
      </c>
      <c r="X16" s="7">
        <f>Tabelle25[[#This Row],[additive
voc4cat:0007793]]</f>
        <v>0</v>
      </c>
      <c r="Y16" s="7">
        <f>Tabelle25[[#This Row],[additive
dct:identifier
SMILES, InChi or InChiKey]]</f>
        <v>0</v>
      </c>
      <c r="Z16" s="7">
        <f>Tabelle25[[#This Row],[Additive amount
voc4cat:sample mass
voc4cat:0007038]]</f>
        <v>0</v>
      </c>
      <c r="AA16" s="7">
        <f>Tabelle25[[#This Row],[Metal]]</f>
        <v>0</v>
      </c>
      <c r="AB16" s="7">
        <f>Tabelle25[[#This Row],[Metal loading, nominal (wt%)
voc4cat:0007815]]</f>
        <v>0</v>
      </c>
      <c r="AC16" s="7">
        <f>Tabelle25[[#This Row],[molar ratio metal additive]]</f>
        <v>0</v>
      </c>
      <c r="AD16" s="7">
        <f>Tabelle25[[#This Row],[molar ratio metal metal]]</f>
        <v>0</v>
      </c>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row>
    <row r="17" spans="1:207" s="6" customFormat="1" ht="18" customHeight="1">
      <c r="A17" s="7">
        <f>Tabelle25[[#This Row],[institution
voc4cat:0007842]]</f>
        <v>0</v>
      </c>
      <c r="B17" s="7">
        <f>Tabelle25[[#This Row],[catalyst barcode  
(barcode: AFO_/result'#AFR:0002690)]]</f>
        <v>0</v>
      </c>
      <c r="C17" s="7">
        <f>Tabelle25[[#This Row],[identifier  
dct]]</f>
        <v>0</v>
      </c>
      <c r="D17" s="7">
        <f>Tabelle25[[#This Row],[catalyst
voc4cat:0007014]]</f>
        <v>0</v>
      </c>
      <c r="E17" s="7">
        <f>Tabelle25[[#This Row],[Name
dct:title]]</f>
        <v>0</v>
      </c>
      <c r="F17" s="7">
        <f>Tabelle25[[#This Row],[Preparation method
voc4cat:0007016]]</f>
        <v>0</v>
      </c>
      <c r="G17" s="7">
        <f>Tabelle25[[#This Row],[Support  
voc4cat:0007825]]</f>
        <v>0</v>
      </c>
      <c r="H17" s="7">
        <f>Tabelle25[[#This Row],[Support Barcode
(barcode: AFO_/result'#AFR:0002690)]]</f>
        <v>0</v>
      </c>
      <c r="I17" s="7">
        <f>Tabelle25[[#This Row],[Support identifier
dct]]</f>
        <v>0</v>
      </c>
      <c r="J17" s="7">
        <f>Tabelle25[[#This Row],[Support shape]]</f>
        <v>0</v>
      </c>
      <c r="K17" s="7">
        <f>Tabelle25[[#This Row],[Support Pretreatment
voc4cat:sample pretreatment voc4cat:0000123]]</f>
        <v>0</v>
      </c>
      <c r="L17" s="7">
        <f>Tabelle25[[#This Row],[Precursor 1 
precursor: voc4cat:0007794]]</f>
        <v>0</v>
      </c>
      <c r="M17" s="7">
        <f>Tabelle25[[#This Row],[Precursor 1 
dct:identifier
SMILES, InChi or InChiKey]]</f>
        <v>0</v>
      </c>
      <c r="N17" s="7">
        <f>Tabelle25[[#This Row],[Precursor 1 amount
voc4cat:sample mass
voc4cat:0007038]]</f>
        <v>0</v>
      </c>
      <c r="O17" s="7">
        <f>Tabelle25[[#This Row],[Precursor 2 
precursor: voc4cat:0007794]]</f>
        <v>0</v>
      </c>
      <c r="P17" s="7">
        <f>Tabelle25[[#This Row],[Precursor 2 
dct:identifier
SMILES, InChi or InChiKey]]</f>
        <v>0</v>
      </c>
      <c r="Q17" s="7">
        <f>Tabelle25[[#This Row],[Precursor 2 amount
voc4cat:sample mass
voc4cat:0007038]]</f>
        <v>0</v>
      </c>
      <c r="R17" s="7">
        <f>Tabelle25[[#This Row],[Precursor 3 
precursor: voc4cat:0007794]]</f>
        <v>0</v>
      </c>
      <c r="S17" s="7">
        <f>Tabelle25[[#This Row],[Precursor 3 
dct:identifier
SMILES, InChi or InChiKey]]</f>
        <v>0</v>
      </c>
      <c r="T17" s="7">
        <f>Tabelle25[[#This Row],[Precursor 3 amount
voc4cat:sample mass
voc4cat:0007038]]</f>
        <v>0</v>
      </c>
      <c r="U17" s="7">
        <f>Tabelle25[[#This Row],[Precursor 4 
precursor: voc4cat:0007794]]</f>
        <v>0</v>
      </c>
      <c r="V17" s="7">
        <f>Tabelle25[[#This Row],[Precursor 4 
dct:identifier
SMILES, InChi or InChiKey]]</f>
        <v>0</v>
      </c>
      <c r="W17" s="7">
        <f>Tabelle25[[#This Row],[Precursor 4 amount
voc4cat:sample mass
voc4cat:0007038]]</f>
        <v>0</v>
      </c>
      <c r="X17" s="7">
        <f>Tabelle25[[#This Row],[additive
voc4cat:0007793]]</f>
        <v>0</v>
      </c>
      <c r="Y17" s="7">
        <f>Tabelle25[[#This Row],[additive
dct:identifier
SMILES, InChi or InChiKey]]</f>
        <v>0</v>
      </c>
      <c r="Z17" s="7">
        <f>Tabelle25[[#This Row],[Additive amount
voc4cat:sample mass
voc4cat:0007038]]</f>
        <v>0</v>
      </c>
      <c r="AA17" s="7">
        <f>Tabelle25[[#This Row],[Metal]]</f>
        <v>0</v>
      </c>
      <c r="AB17" s="7">
        <f>Tabelle25[[#This Row],[Metal loading, nominal (wt%)
voc4cat:0007815]]</f>
        <v>0</v>
      </c>
      <c r="AC17" s="7">
        <f>Tabelle25[[#This Row],[molar ratio metal additive]]</f>
        <v>0</v>
      </c>
      <c r="AD17" s="7">
        <f>Tabelle25[[#This Row],[molar ratio metal metal]]</f>
        <v>0</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row>
    <row r="18" spans="1:207" s="4" customFormat="1" ht="18" customHeight="1">
      <c r="A18" s="7">
        <f>Tabelle25[[#This Row],[institution
voc4cat:0007842]]</f>
        <v>0</v>
      </c>
      <c r="B18" s="7">
        <f>Tabelle25[[#This Row],[catalyst barcode  
(barcode: AFO_/result'#AFR:0002690)]]</f>
        <v>0</v>
      </c>
      <c r="C18" s="7">
        <f>Tabelle25[[#This Row],[identifier  
dct]]</f>
        <v>0</v>
      </c>
      <c r="D18" s="7">
        <f>Tabelle25[[#This Row],[catalyst
voc4cat:0007014]]</f>
        <v>0</v>
      </c>
      <c r="E18" s="7">
        <f>Tabelle25[[#This Row],[Name
dct:title]]</f>
        <v>0</v>
      </c>
      <c r="F18" s="7">
        <f>Tabelle25[[#This Row],[Preparation method
voc4cat:0007016]]</f>
        <v>0</v>
      </c>
      <c r="G18" s="7">
        <f>Tabelle25[[#This Row],[Support  
voc4cat:0007825]]</f>
        <v>0</v>
      </c>
      <c r="H18" s="7">
        <f>Tabelle25[[#This Row],[Support Barcode
(barcode: AFO_/result'#AFR:0002690)]]</f>
        <v>0</v>
      </c>
      <c r="I18" s="7">
        <f>Tabelle25[[#This Row],[Support identifier
dct]]</f>
        <v>0</v>
      </c>
      <c r="J18" s="7">
        <f>Tabelle25[[#This Row],[Support shape]]</f>
        <v>0</v>
      </c>
      <c r="K18" s="7">
        <f>Tabelle25[[#This Row],[Support Pretreatment
voc4cat:sample pretreatment voc4cat:0000123]]</f>
        <v>0</v>
      </c>
      <c r="L18" s="7">
        <f>Tabelle25[[#This Row],[Precursor 1 
precursor: voc4cat:0007794]]</f>
        <v>0</v>
      </c>
      <c r="M18" s="7">
        <f>Tabelle25[[#This Row],[Precursor 1 
dct:identifier
SMILES, InChi or InChiKey]]</f>
        <v>0</v>
      </c>
      <c r="N18" s="7">
        <f>Tabelle25[[#This Row],[Precursor 1 amount
voc4cat:sample mass
voc4cat:0007038]]</f>
        <v>0</v>
      </c>
      <c r="O18" s="7">
        <f>Tabelle25[[#This Row],[Precursor 2 
precursor: voc4cat:0007794]]</f>
        <v>0</v>
      </c>
      <c r="P18" s="7">
        <f>Tabelle25[[#This Row],[Precursor 2 
dct:identifier
SMILES, InChi or InChiKey]]</f>
        <v>0</v>
      </c>
      <c r="Q18" s="7">
        <f>Tabelle25[[#This Row],[Precursor 2 amount
voc4cat:sample mass
voc4cat:0007038]]</f>
        <v>0</v>
      </c>
      <c r="R18" s="7">
        <f>Tabelle25[[#This Row],[Precursor 3 
precursor: voc4cat:0007794]]</f>
        <v>0</v>
      </c>
      <c r="S18" s="7">
        <f>Tabelle25[[#This Row],[Precursor 3 
dct:identifier
SMILES, InChi or InChiKey]]</f>
        <v>0</v>
      </c>
      <c r="T18" s="7">
        <f>Tabelle25[[#This Row],[Precursor 3 amount
voc4cat:sample mass
voc4cat:0007038]]</f>
        <v>0</v>
      </c>
      <c r="U18" s="7">
        <f>Tabelle25[[#This Row],[Precursor 4 
precursor: voc4cat:0007794]]</f>
        <v>0</v>
      </c>
      <c r="V18" s="7">
        <f>Tabelle25[[#This Row],[Precursor 4 
dct:identifier
SMILES, InChi or InChiKey]]</f>
        <v>0</v>
      </c>
      <c r="W18" s="7">
        <f>Tabelle25[[#This Row],[Precursor 4 amount
voc4cat:sample mass
voc4cat:0007038]]</f>
        <v>0</v>
      </c>
      <c r="X18" s="7">
        <f>Tabelle25[[#This Row],[additive
voc4cat:0007793]]</f>
        <v>0</v>
      </c>
      <c r="Y18" s="7">
        <f>Tabelle25[[#This Row],[additive
dct:identifier
SMILES, InChi or InChiKey]]</f>
        <v>0</v>
      </c>
      <c r="Z18" s="7">
        <f>Tabelle25[[#This Row],[Additive amount
voc4cat:sample mass
voc4cat:0007038]]</f>
        <v>0</v>
      </c>
      <c r="AA18" s="7">
        <f>Tabelle25[[#This Row],[Metal]]</f>
        <v>0</v>
      </c>
      <c r="AB18" s="7">
        <f>Tabelle25[[#This Row],[Metal loading, nominal (wt%)
voc4cat:0007815]]</f>
        <v>0</v>
      </c>
      <c r="AC18" s="7">
        <f>Tabelle25[[#This Row],[molar ratio metal additive]]</f>
        <v>0</v>
      </c>
      <c r="AD18" s="7">
        <f>Tabelle25[[#This Row],[molar ratio metal metal]]</f>
        <v>0</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row>
    <row r="19" spans="1:207" s="4" customFormat="1" ht="18" customHeight="1">
      <c r="A19" s="7">
        <f>Tabelle25[[#This Row],[institution
voc4cat:0007842]]</f>
        <v>0</v>
      </c>
      <c r="B19" s="7">
        <f>Tabelle25[[#This Row],[catalyst barcode  
(barcode: AFO_/result'#AFR:0002690)]]</f>
        <v>0</v>
      </c>
      <c r="C19" s="7">
        <f>Tabelle25[[#This Row],[identifier  
dct]]</f>
        <v>0</v>
      </c>
      <c r="D19" s="7">
        <f>Tabelle25[[#This Row],[catalyst
voc4cat:0007014]]</f>
        <v>0</v>
      </c>
      <c r="E19" s="7">
        <f>Tabelle25[[#This Row],[Name
dct:title]]</f>
        <v>0</v>
      </c>
      <c r="F19" s="7">
        <f>Tabelle25[[#This Row],[Preparation method
voc4cat:0007016]]</f>
        <v>0</v>
      </c>
      <c r="G19" s="7">
        <f>Tabelle25[[#This Row],[Support  
voc4cat:0007825]]</f>
        <v>0</v>
      </c>
      <c r="H19" s="7">
        <f>Tabelle25[[#This Row],[Support Barcode
(barcode: AFO_/result'#AFR:0002690)]]</f>
        <v>0</v>
      </c>
      <c r="I19" s="7">
        <f>Tabelle25[[#This Row],[Support identifier
dct]]</f>
        <v>0</v>
      </c>
      <c r="J19" s="7">
        <f>Tabelle25[[#This Row],[Support shape]]</f>
        <v>0</v>
      </c>
      <c r="K19" s="7">
        <f>Tabelle25[[#This Row],[Support Pretreatment
voc4cat:sample pretreatment voc4cat:0000123]]</f>
        <v>0</v>
      </c>
      <c r="L19" s="7">
        <f>Tabelle25[[#This Row],[Precursor 1 
precursor: voc4cat:0007794]]</f>
        <v>0</v>
      </c>
      <c r="M19" s="7">
        <f>Tabelle25[[#This Row],[Precursor 1 
dct:identifier
SMILES, InChi or InChiKey]]</f>
        <v>0</v>
      </c>
      <c r="N19" s="7">
        <f>Tabelle25[[#This Row],[Precursor 1 amount
voc4cat:sample mass
voc4cat:0007038]]</f>
        <v>0</v>
      </c>
      <c r="O19" s="7">
        <f>Tabelle25[[#This Row],[Precursor 2 
precursor: voc4cat:0007794]]</f>
        <v>0</v>
      </c>
      <c r="P19" s="7">
        <f>Tabelle25[[#This Row],[Precursor 2 
dct:identifier
SMILES, InChi or InChiKey]]</f>
        <v>0</v>
      </c>
      <c r="Q19" s="7">
        <f>Tabelle25[[#This Row],[Precursor 2 amount
voc4cat:sample mass
voc4cat:0007038]]</f>
        <v>0</v>
      </c>
      <c r="R19" s="7">
        <f>Tabelle25[[#This Row],[Precursor 3 
precursor: voc4cat:0007794]]</f>
        <v>0</v>
      </c>
      <c r="S19" s="7">
        <f>Tabelle25[[#This Row],[Precursor 3 
dct:identifier
SMILES, InChi or InChiKey]]</f>
        <v>0</v>
      </c>
      <c r="T19" s="7">
        <f>Tabelle25[[#This Row],[Precursor 3 amount
voc4cat:sample mass
voc4cat:0007038]]</f>
        <v>0</v>
      </c>
      <c r="U19" s="7">
        <f>Tabelle25[[#This Row],[Precursor 4 
precursor: voc4cat:0007794]]</f>
        <v>0</v>
      </c>
      <c r="V19" s="7">
        <f>Tabelle25[[#This Row],[Precursor 4 
dct:identifier
SMILES, InChi or InChiKey]]</f>
        <v>0</v>
      </c>
      <c r="W19" s="7">
        <f>Tabelle25[[#This Row],[Precursor 4 amount
voc4cat:sample mass
voc4cat:0007038]]</f>
        <v>0</v>
      </c>
      <c r="X19" s="7">
        <f>Tabelle25[[#This Row],[additive
voc4cat:0007793]]</f>
        <v>0</v>
      </c>
      <c r="Y19" s="7">
        <f>Tabelle25[[#This Row],[additive
dct:identifier
SMILES, InChi or InChiKey]]</f>
        <v>0</v>
      </c>
      <c r="Z19" s="7">
        <f>Tabelle25[[#This Row],[Additive amount
voc4cat:sample mass
voc4cat:0007038]]</f>
        <v>0</v>
      </c>
      <c r="AA19" s="7">
        <f>Tabelle25[[#This Row],[Metal]]</f>
        <v>0</v>
      </c>
      <c r="AB19" s="7">
        <f>Tabelle25[[#This Row],[Metal loading, nominal (wt%)
voc4cat:0007815]]</f>
        <v>0</v>
      </c>
      <c r="AC19" s="7">
        <f>Tabelle25[[#This Row],[molar ratio metal additive]]</f>
        <v>0</v>
      </c>
      <c r="AD19" s="7">
        <f>Tabelle25[[#This Row],[molar ratio metal metal]]</f>
        <v>0</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row>
    <row r="20" spans="1:207" s="4" customFormat="1" ht="18" customHeight="1">
      <c r="A20" s="7">
        <f>Tabelle25[[#This Row],[institution
voc4cat:0007842]]</f>
        <v>0</v>
      </c>
      <c r="B20" s="7">
        <f>Tabelle25[[#This Row],[catalyst barcode  
(barcode: AFO_/result'#AFR:0002690)]]</f>
        <v>0</v>
      </c>
      <c r="C20" s="7">
        <f>Tabelle25[[#This Row],[identifier  
dct]]</f>
        <v>0</v>
      </c>
      <c r="D20" s="7">
        <f>Tabelle25[[#This Row],[catalyst
voc4cat:0007014]]</f>
        <v>0</v>
      </c>
      <c r="E20" s="7">
        <f>Tabelle25[[#This Row],[Name
dct:title]]</f>
        <v>0</v>
      </c>
      <c r="F20" s="7">
        <f>Tabelle25[[#This Row],[Preparation method
voc4cat:0007016]]</f>
        <v>0</v>
      </c>
      <c r="G20" s="7">
        <f>Tabelle25[[#This Row],[Support  
voc4cat:0007825]]</f>
        <v>0</v>
      </c>
      <c r="H20" s="7">
        <f>Tabelle25[[#This Row],[Support Barcode
(barcode: AFO_/result'#AFR:0002690)]]</f>
        <v>0</v>
      </c>
      <c r="I20" s="7">
        <f>Tabelle25[[#This Row],[Support identifier
dct]]</f>
        <v>0</v>
      </c>
      <c r="J20" s="7">
        <f>Tabelle25[[#This Row],[Support shape]]</f>
        <v>0</v>
      </c>
      <c r="K20" s="7">
        <f>Tabelle25[[#This Row],[Support Pretreatment
voc4cat:sample pretreatment voc4cat:0000123]]</f>
        <v>0</v>
      </c>
      <c r="L20" s="7">
        <f>Tabelle25[[#This Row],[Precursor 1 
precursor: voc4cat:0007794]]</f>
        <v>0</v>
      </c>
      <c r="M20" s="7">
        <f>Tabelle25[[#This Row],[Precursor 1 
dct:identifier
SMILES, InChi or InChiKey]]</f>
        <v>0</v>
      </c>
      <c r="N20" s="7">
        <f>Tabelle25[[#This Row],[Precursor 1 amount
voc4cat:sample mass
voc4cat:0007038]]</f>
        <v>0</v>
      </c>
      <c r="O20" s="7">
        <f>Tabelle25[[#This Row],[Precursor 2 
precursor: voc4cat:0007794]]</f>
        <v>0</v>
      </c>
      <c r="P20" s="7">
        <f>Tabelle25[[#This Row],[Precursor 2 
dct:identifier
SMILES, InChi or InChiKey]]</f>
        <v>0</v>
      </c>
      <c r="Q20" s="7">
        <f>Tabelle25[[#This Row],[Precursor 2 amount
voc4cat:sample mass
voc4cat:0007038]]</f>
        <v>0</v>
      </c>
      <c r="R20" s="7">
        <f>Tabelle25[[#This Row],[Precursor 3 
precursor: voc4cat:0007794]]</f>
        <v>0</v>
      </c>
      <c r="S20" s="7">
        <f>Tabelle25[[#This Row],[Precursor 3 
dct:identifier
SMILES, InChi or InChiKey]]</f>
        <v>0</v>
      </c>
      <c r="T20" s="7">
        <f>Tabelle25[[#This Row],[Precursor 3 amount
voc4cat:sample mass
voc4cat:0007038]]</f>
        <v>0</v>
      </c>
      <c r="U20" s="7">
        <f>Tabelle25[[#This Row],[Precursor 4 
precursor: voc4cat:0007794]]</f>
        <v>0</v>
      </c>
      <c r="V20" s="7">
        <f>Tabelle25[[#This Row],[Precursor 4 
dct:identifier
SMILES, InChi or InChiKey]]</f>
        <v>0</v>
      </c>
      <c r="W20" s="7">
        <f>Tabelle25[[#This Row],[Precursor 4 amount
voc4cat:sample mass
voc4cat:0007038]]</f>
        <v>0</v>
      </c>
      <c r="X20" s="7">
        <f>Tabelle25[[#This Row],[additive
voc4cat:0007793]]</f>
        <v>0</v>
      </c>
      <c r="Y20" s="7">
        <f>Tabelle25[[#This Row],[additive
dct:identifier
SMILES, InChi or InChiKey]]</f>
        <v>0</v>
      </c>
      <c r="Z20" s="7">
        <f>Tabelle25[[#This Row],[Additive amount
voc4cat:sample mass
voc4cat:0007038]]</f>
        <v>0</v>
      </c>
      <c r="AA20" s="7">
        <f>Tabelle25[[#This Row],[Metal]]</f>
        <v>0</v>
      </c>
      <c r="AB20" s="7">
        <f>Tabelle25[[#This Row],[Metal loading, nominal (wt%)
voc4cat:0007815]]</f>
        <v>0</v>
      </c>
      <c r="AC20" s="7">
        <f>Tabelle25[[#This Row],[molar ratio metal additive]]</f>
        <v>0</v>
      </c>
      <c r="AD20" s="7">
        <f>Tabelle25[[#This Row],[molar ratio metal metal]]</f>
        <v>0</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row>
    <row r="21" spans="1:207" s="4" customFormat="1" ht="18" customHeight="1">
      <c r="A21" s="7">
        <f>Tabelle25[[#This Row],[institution
voc4cat:0007842]]</f>
        <v>0</v>
      </c>
      <c r="B21" s="7">
        <f>Tabelle25[[#This Row],[catalyst barcode  
(barcode: AFO_/result'#AFR:0002690)]]</f>
        <v>0</v>
      </c>
      <c r="C21" s="7">
        <f>Tabelle25[[#This Row],[identifier  
dct]]</f>
        <v>0</v>
      </c>
      <c r="D21" s="7">
        <f>Tabelle25[[#This Row],[catalyst
voc4cat:0007014]]</f>
        <v>0</v>
      </c>
      <c r="E21" s="7">
        <f>Tabelle25[[#This Row],[Name
dct:title]]</f>
        <v>0</v>
      </c>
      <c r="F21" s="7">
        <f>Tabelle25[[#This Row],[Preparation method
voc4cat:0007016]]</f>
        <v>0</v>
      </c>
      <c r="G21" s="7">
        <f>Tabelle25[[#This Row],[Support  
voc4cat:0007825]]</f>
        <v>0</v>
      </c>
      <c r="H21" s="7">
        <f>Tabelle25[[#This Row],[Support Barcode
(barcode: AFO_/result'#AFR:0002690)]]</f>
        <v>0</v>
      </c>
      <c r="I21" s="7">
        <f>Tabelle25[[#This Row],[Support identifier
dct]]</f>
        <v>0</v>
      </c>
      <c r="J21" s="7">
        <f>Tabelle25[[#This Row],[Support shape]]</f>
        <v>0</v>
      </c>
      <c r="K21" s="7">
        <f>Tabelle25[[#This Row],[Support Pretreatment
voc4cat:sample pretreatment voc4cat:0000123]]</f>
        <v>0</v>
      </c>
      <c r="L21" s="7">
        <f>Tabelle25[[#This Row],[Precursor 1 
precursor: voc4cat:0007794]]</f>
        <v>0</v>
      </c>
      <c r="M21" s="7">
        <f>Tabelle25[[#This Row],[Precursor 1 
dct:identifier
SMILES, InChi or InChiKey]]</f>
        <v>0</v>
      </c>
      <c r="N21" s="7">
        <f>Tabelle25[[#This Row],[Precursor 1 amount
voc4cat:sample mass
voc4cat:0007038]]</f>
        <v>0</v>
      </c>
      <c r="O21" s="7">
        <f>Tabelle25[[#This Row],[Precursor 2 
precursor: voc4cat:0007794]]</f>
        <v>0</v>
      </c>
      <c r="P21" s="7">
        <f>Tabelle25[[#This Row],[Precursor 2 
dct:identifier
SMILES, InChi or InChiKey]]</f>
        <v>0</v>
      </c>
      <c r="Q21" s="7">
        <f>Tabelle25[[#This Row],[Precursor 2 amount
voc4cat:sample mass
voc4cat:0007038]]</f>
        <v>0</v>
      </c>
      <c r="R21" s="7">
        <f>Tabelle25[[#This Row],[Precursor 3 
precursor: voc4cat:0007794]]</f>
        <v>0</v>
      </c>
      <c r="S21" s="7">
        <f>Tabelle25[[#This Row],[Precursor 3 
dct:identifier
SMILES, InChi or InChiKey]]</f>
        <v>0</v>
      </c>
      <c r="T21" s="7">
        <f>Tabelle25[[#This Row],[Precursor 3 amount
voc4cat:sample mass
voc4cat:0007038]]</f>
        <v>0</v>
      </c>
      <c r="U21" s="7">
        <f>Tabelle25[[#This Row],[Precursor 4 
precursor: voc4cat:0007794]]</f>
        <v>0</v>
      </c>
      <c r="V21" s="7">
        <f>Tabelle25[[#This Row],[Precursor 4 
dct:identifier
SMILES, InChi or InChiKey]]</f>
        <v>0</v>
      </c>
      <c r="W21" s="7">
        <f>Tabelle25[[#This Row],[Precursor 4 amount
voc4cat:sample mass
voc4cat:0007038]]</f>
        <v>0</v>
      </c>
      <c r="X21" s="7">
        <f>Tabelle25[[#This Row],[additive
voc4cat:0007793]]</f>
        <v>0</v>
      </c>
      <c r="Y21" s="7">
        <f>Tabelle25[[#This Row],[additive
dct:identifier
SMILES, InChi or InChiKey]]</f>
        <v>0</v>
      </c>
      <c r="Z21" s="7">
        <f>Tabelle25[[#This Row],[Additive amount
voc4cat:sample mass
voc4cat:0007038]]</f>
        <v>0</v>
      </c>
      <c r="AA21" s="7">
        <f>Tabelle25[[#This Row],[Metal]]</f>
        <v>0</v>
      </c>
      <c r="AB21" s="7">
        <f>Tabelle25[[#This Row],[Metal loading, nominal (wt%)
voc4cat:0007815]]</f>
        <v>0</v>
      </c>
      <c r="AC21" s="7">
        <f>Tabelle25[[#This Row],[molar ratio metal additive]]</f>
        <v>0</v>
      </c>
      <c r="AD21" s="7">
        <f>Tabelle25[[#This Row],[molar ratio metal metal]]</f>
        <v>0</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row>
    <row r="22" spans="1:207" s="4" customFormat="1" ht="18" customHeight="1">
      <c r="A22" s="7">
        <f>Tabelle25[[#This Row],[institution
voc4cat:0007842]]</f>
        <v>0</v>
      </c>
      <c r="B22" s="7">
        <f>Tabelle25[[#This Row],[catalyst barcode  
(barcode: AFO_/result'#AFR:0002690)]]</f>
        <v>0</v>
      </c>
      <c r="C22" s="7">
        <f>Tabelle25[[#This Row],[identifier  
dct]]</f>
        <v>0</v>
      </c>
      <c r="D22" s="7">
        <f>Tabelle25[[#This Row],[catalyst
voc4cat:0007014]]</f>
        <v>0</v>
      </c>
      <c r="E22" s="7">
        <f>Tabelle25[[#This Row],[Name
dct:title]]</f>
        <v>0</v>
      </c>
      <c r="F22" s="7">
        <f>Tabelle25[[#This Row],[Preparation method
voc4cat:0007016]]</f>
        <v>0</v>
      </c>
      <c r="G22" s="7">
        <f>Tabelle25[[#This Row],[Support  
voc4cat:0007825]]</f>
        <v>0</v>
      </c>
      <c r="H22" s="7">
        <f>Tabelle25[[#This Row],[Support Barcode
(barcode: AFO_/result'#AFR:0002690)]]</f>
        <v>0</v>
      </c>
      <c r="I22" s="7">
        <f>Tabelle25[[#This Row],[Support identifier
dct]]</f>
        <v>0</v>
      </c>
      <c r="J22" s="7">
        <f>Tabelle25[[#This Row],[Support shape]]</f>
        <v>0</v>
      </c>
      <c r="K22" s="7">
        <f>Tabelle25[[#This Row],[Support Pretreatment
voc4cat:sample pretreatment voc4cat:0000123]]</f>
        <v>0</v>
      </c>
      <c r="L22" s="7">
        <f>Tabelle25[[#This Row],[Precursor 1 
precursor: voc4cat:0007794]]</f>
        <v>0</v>
      </c>
      <c r="M22" s="7">
        <f>Tabelle25[[#This Row],[Precursor 1 
dct:identifier
SMILES, InChi or InChiKey]]</f>
        <v>0</v>
      </c>
      <c r="N22" s="7">
        <f>Tabelle25[[#This Row],[Precursor 1 amount
voc4cat:sample mass
voc4cat:0007038]]</f>
        <v>0</v>
      </c>
      <c r="O22" s="7">
        <f>Tabelle25[[#This Row],[Precursor 2 
precursor: voc4cat:0007794]]</f>
        <v>0</v>
      </c>
      <c r="P22" s="7">
        <f>Tabelle25[[#This Row],[Precursor 2 
dct:identifier
SMILES, InChi or InChiKey]]</f>
        <v>0</v>
      </c>
      <c r="Q22" s="7">
        <f>Tabelle25[[#This Row],[Precursor 2 amount
voc4cat:sample mass
voc4cat:0007038]]</f>
        <v>0</v>
      </c>
      <c r="R22" s="7">
        <f>Tabelle25[[#This Row],[Precursor 3 
precursor: voc4cat:0007794]]</f>
        <v>0</v>
      </c>
      <c r="S22" s="7">
        <f>Tabelle25[[#This Row],[Precursor 3 
dct:identifier
SMILES, InChi or InChiKey]]</f>
        <v>0</v>
      </c>
      <c r="T22" s="7">
        <f>Tabelle25[[#This Row],[Precursor 3 amount
voc4cat:sample mass
voc4cat:0007038]]</f>
        <v>0</v>
      </c>
      <c r="U22" s="7">
        <f>Tabelle25[[#This Row],[Precursor 4 
precursor: voc4cat:0007794]]</f>
        <v>0</v>
      </c>
      <c r="V22" s="7">
        <f>Tabelle25[[#This Row],[Precursor 4 
dct:identifier
SMILES, InChi or InChiKey]]</f>
        <v>0</v>
      </c>
      <c r="W22" s="7">
        <f>Tabelle25[[#This Row],[Precursor 4 amount
voc4cat:sample mass
voc4cat:0007038]]</f>
        <v>0</v>
      </c>
      <c r="X22" s="7">
        <f>Tabelle25[[#This Row],[additive
voc4cat:0007793]]</f>
        <v>0</v>
      </c>
      <c r="Y22" s="7">
        <f>Tabelle25[[#This Row],[additive
dct:identifier
SMILES, InChi or InChiKey]]</f>
        <v>0</v>
      </c>
      <c r="Z22" s="7">
        <f>Tabelle25[[#This Row],[Additive amount
voc4cat:sample mass
voc4cat:0007038]]</f>
        <v>0</v>
      </c>
      <c r="AA22" s="7">
        <f>Tabelle25[[#This Row],[Metal]]</f>
        <v>0</v>
      </c>
      <c r="AB22" s="7">
        <f>Tabelle25[[#This Row],[Metal loading, nominal (wt%)
voc4cat:0007815]]</f>
        <v>0</v>
      </c>
      <c r="AC22" s="7">
        <f>Tabelle25[[#This Row],[molar ratio metal additive]]</f>
        <v>0</v>
      </c>
      <c r="AD22" s="7">
        <f>Tabelle25[[#This Row],[molar ratio metal metal]]</f>
        <v>0</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row>
    <row r="23" spans="1:207" s="4" customFormat="1" ht="18" customHeight="1">
      <c r="A23" s="7">
        <f>Tabelle25[[#This Row],[institution
voc4cat:0007842]]</f>
        <v>0</v>
      </c>
      <c r="B23" s="7">
        <f>Tabelle25[[#This Row],[catalyst barcode  
(barcode: AFO_/result'#AFR:0002690)]]</f>
        <v>0</v>
      </c>
      <c r="C23" s="7">
        <f>Tabelle25[[#This Row],[identifier  
dct]]</f>
        <v>0</v>
      </c>
      <c r="D23" s="7">
        <f>Tabelle25[[#This Row],[catalyst
voc4cat:0007014]]</f>
        <v>0</v>
      </c>
      <c r="E23" s="7">
        <f>Tabelle25[[#This Row],[Name
dct:title]]</f>
        <v>0</v>
      </c>
      <c r="F23" s="7">
        <f>Tabelle25[[#This Row],[Preparation method
voc4cat:0007016]]</f>
        <v>0</v>
      </c>
      <c r="G23" s="7">
        <f>Tabelle25[[#This Row],[Support  
voc4cat:0007825]]</f>
        <v>0</v>
      </c>
      <c r="H23" s="7">
        <f>Tabelle25[[#This Row],[Support Barcode
(barcode: AFO_/result'#AFR:0002690)]]</f>
        <v>0</v>
      </c>
      <c r="I23" s="7">
        <f>Tabelle25[[#This Row],[Support identifier
dct]]</f>
        <v>0</v>
      </c>
      <c r="J23" s="7">
        <f>Tabelle25[[#This Row],[Support shape]]</f>
        <v>0</v>
      </c>
      <c r="K23" s="7">
        <f>Tabelle25[[#This Row],[Support Pretreatment
voc4cat:sample pretreatment voc4cat:0000123]]</f>
        <v>0</v>
      </c>
      <c r="L23" s="7">
        <f>Tabelle25[[#This Row],[Precursor 1 
precursor: voc4cat:0007794]]</f>
        <v>0</v>
      </c>
      <c r="M23" s="7">
        <f>Tabelle25[[#This Row],[Precursor 1 
dct:identifier
SMILES, InChi or InChiKey]]</f>
        <v>0</v>
      </c>
      <c r="N23" s="7">
        <f>Tabelle25[[#This Row],[Precursor 1 amount
voc4cat:sample mass
voc4cat:0007038]]</f>
        <v>0</v>
      </c>
      <c r="O23" s="7">
        <f>Tabelle25[[#This Row],[Precursor 2 
precursor: voc4cat:0007794]]</f>
        <v>0</v>
      </c>
      <c r="P23" s="7">
        <f>Tabelle25[[#This Row],[Precursor 2 
dct:identifier
SMILES, InChi or InChiKey]]</f>
        <v>0</v>
      </c>
      <c r="Q23" s="7">
        <f>Tabelle25[[#This Row],[Precursor 2 amount
voc4cat:sample mass
voc4cat:0007038]]</f>
        <v>0</v>
      </c>
      <c r="R23" s="7">
        <f>Tabelle25[[#This Row],[Precursor 3 
precursor: voc4cat:0007794]]</f>
        <v>0</v>
      </c>
      <c r="S23" s="7">
        <f>Tabelle25[[#This Row],[Precursor 3 
dct:identifier
SMILES, InChi or InChiKey]]</f>
        <v>0</v>
      </c>
      <c r="T23" s="7">
        <f>Tabelle25[[#This Row],[Precursor 3 amount
voc4cat:sample mass
voc4cat:0007038]]</f>
        <v>0</v>
      </c>
      <c r="U23" s="7">
        <f>Tabelle25[[#This Row],[Precursor 4 
precursor: voc4cat:0007794]]</f>
        <v>0</v>
      </c>
      <c r="V23" s="7">
        <f>Tabelle25[[#This Row],[Precursor 4 
dct:identifier
SMILES, InChi or InChiKey]]</f>
        <v>0</v>
      </c>
      <c r="W23" s="7">
        <f>Tabelle25[[#This Row],[Precursor 4 amount
voc4cat:sample mass
voc4cat:0007038]]</f>
        <v>0</v>
      </c>
      <c r="X23" s="7">
        <f>Tabelle25[[#This Row],[additive
voc4cat:0007793]]</f>
        <v>0</v>
      </c>
      <c r="Y23" s="7">
        <f>Tabelle25[[#This Row],[additive
dct:identifier
SMILES, InChi or InChiKey]]</f>
        <v>0</v>
      </c>
      <c r="Z23" s="7">
        <f>Tabelle25[[#This Row],[Additive amount
voc4cat:sample mass
voc4cat:0007038]]</f>
        <v>0</v>
      </c>
      <c r="AA23" s="7">
        <f>Tabelle25[[#This Row],[Metal]]</f>
        <v>0</v>
      </c>
      <c r="AB23" s="7">
        <f>Tabelle25[[#This Row],[Metal loading, nominal (wt%)
voc4cat:0007815]]</f>
        <v>0</v>
      </c>
      <c r="AC23" s="7">
        <f>Tabelle25[[#This Row],[molar ratio metal additive]]</f>
        <v>0</v>
      </c>
      <c r="AD23" s="7">
        <f>Tabelle25[[#This Row],[molar ratio metal metal]]</f>
        <v>0</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row>
    <row r="24" spans="1:207" s="4" customFormat="1" ht="18" customHeight="1">
      <c r="A24" s="7">
        <f>Tabelle25[[#This Row],[institution
voc4cat:0007842]]</f>
        <v>0</v>
      </c>
      <c r="B24" s="7">
        <f>Tabelle25[[#This Row],[catalyst barcode  
(barcode: AFO_/result'#AFR:0002690)]]</f>
        <v>0</v>
      </c>
      <c r="C24" s="7">
        <f>Tabelle25[[#This Row],[identifier  
dct]]</f>
        <v>0</v>
      </c>
      <c r="D24" s="7">
        <f>Tabelle25[[#This Row],[catalyst
voc4cat:0007014]]</f>
        <v>0</v>
      </c>
      <c r="E24" s="7">
        <f>Tabelle25[[#This Row],[Name
dct:title]]</f>
        <v>0</v>
      </c>
      <c r="F24" s="7">
        <f>Tabelle25[[#This Row],[Preparation method
voc4cat:0007016]]</f>
        <v>0</v>
      </c>
      <c r="G24" s="7">
        <f>Tabelle25[[#This Row],[Support  
voc4cat:0007825]]</f>
        <v>0</v>
      </c>
      <c r="H24" s="7">
        <f>Tabelle25[[#This Row],[Support Barcode
(barcode: AFO_/result'#AFR:0002690)]]</f>
        <v>0</v>
      </c>
      <c r="I24" s="7">
        <f>Tabelle25[[#This Row],[Support identifier
dct]]</f>
        <v>0</v>
      </c>
      <c r="J24" s="7">
        <f>Tabelle25[[#This Row],[Support shape]]</f>
        <v>0</v>
      </c>
      <c r="K24" s="7">
        <f>Tabelle25[[#This Row],[Support Pretreatment
voc4cat:sample pretreatment voc4cat:0000123]]</f>
        <v>0</v>
      </c>
      <c r="L24" s="7">
        <f>Tabelle25[[#This Row],[Precursor 1 
precursor: voc4cat:0007794]]</f>
        <v>0</v>
      </c>
      <c r="M24" s="7">
        <f>Tabelle25[[#This Row],[Precursor 1 
dct:identifier
SMILES, InChi or InChiKey]]</f>
        <v>0</v>
      </c>
      <c r="N24" s="7">
        <f>Tabelle25[[#This Row],[Precursor 1 amount
voc4cat:sample mass
voc4cat:0007038]]</f>
        <v>0</v>
      </c>
      <c r="O24" s="7">
        <f>Tabelle25[[#This Row],[Precursor 2 
precursor: voc4cat:0007794]]</f>
        <v>0</v>
      </c>
      <c r="P24" s="7">
        <f>Tabelle25[[#This Row],[Precursor 2 
dct:identifier
SMILES, InChi or InChiKey]]</f>
        <v>0</v>
      </c>
      <c r="Q24" s="7">
        <f>Tabelle25[[#This Row],[Precursor 2 amount
voc4cat:sample mass
voc4cat:0007038]]</f>
        <v>0</v>
      </c>
      <c r="R24" s="7">
        <f>Tabelle25[[#This Row],[Precursor 3 
precursor: voc4cat:0007794]]</f>
        <v>0</v>
      </c>
      <c r="S24" s="7">
        <f>Tabelle25[[#This Row],[Precursor 3 
dct:identifier
SMILES, InChi or InChiKey]]</f>
        <v>0</v>
      </c>
      <c r="T24" s="7">
        <f>Tabelle25[[#This Row],[Precursor 3 amount
voc4cat:sample mass
voc4cat:0007038]]</f>
        <v>0</v>
      </c>
      <c r="U24" s="7">
        <f>Tabelle25[[#This Row],[Precursor 4 
precursor: voc4cat:0007794]]</f>
        <v>0</v>
      </c>
      <c r="V24" s="7">
        <f>Tabelle25[[#This Row],[Precursor 4 
dct:identifier
SMILES, InChi or InChiKey]]</f>
        <v>0</v>
      </c>
      <c r="W24" s="7">
        <f>Tabelle25[[#This Row],[Precursor 4 amount
voc4cat:sample mass
voc4cat:0007038]]</f>
        <v>0</v>
      </c>
      <c r="X24" s="7">
        <f>Tabelle25[[#This Row],[additive
voc4cat:0007793]]</f>
        <v>0</v>
      </c>
      <c r="Y24" s="7">
        <f>Tabelle25[[#This Row],[additive
dct:identifier
SMILES, InChi or InChiKey]]</f>
        <v>0</v>
      </c>
      <c r="Z24" s="7">
        <f>Tabelle25[[#This Row],[Additive amount
voc4cat:sample mass
voc4cat:0007038]]</f>
        <v>0</v>
      </c>
      <c r="AA24" s="7">
        <f>Tabelle25[[#This Row],[Metal]]</f>
        <v>0</v>
      </c>
      <c r="AB24" s="7">
        <f>Tabelle25[[#This Row],[Metal loading, nominal (wt%)
voc4cat:0007815]]</f>
        <v>0</v>
      </c>
      <c r="AC24" s="7">
        <f>Tabelle25[[#This Row],[molar ratio metal additive]]</f>
        <v>0</v>
      </c>
      <c r="AD24" s="7">
        <f>Tabelle25[[#This Row],[molar ratio metal metal]]</f>
        <v>0</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row>
    <row r="25" spans="1:207" s="4" customFormat="1" ht="18" customHeight="1">
      <c r="A25" s="7">
        <f>Tabelle25[[#This Row],[institution
voc4cat:0007842]]</f>
        <v>0</v>
      </c>
      <c r="B25" s="7">
        <f>Tabelle25[[#This Row],[catalyst barcode  
(barcode: AFO_/result'#AFR:0002690)]]</f>
        <v>0</v>
      </c>
      <c r="C25" s="7">
        <f>Tabelle25[[#This Row],[identifier  
dct]]</f>
        <v>0</v>
      </c>
      <c r="D25" s="7">
        <f>Tabelle25[[#This Row],[catalyst
voc4cat:0007014]]</f>
        <v>0</v>
      </c>
      <c r="E25" s="7">
        <f>Tabelle25[[#This Row],[Name
dct:title]]</f>
        <v>0</v>
      </c>
      <c r="F25" s="7">
        <f>Tabelle25[[#This Row],[Preparation method
voc4cat:0007016]]</f>
        <v>0</v>
      </c>
      <c r="G25" s="7">
        <f>Tabelle25[[#This Row],[Support  
voc4cat:0007825]]</f>
        <v>0</v>
      </c>
      <c r="H25" s="7">
        <f>Tabelle25[[#This Row],[Support Barcode
(barcode: AFO_/result'#AFR:0002690)]]</f>
        <v>0</v>
      </c>
      <c r="I25" s="7">
        <f>Tabelle25[[#This Row],[Support identifier
dct]]</f>
        <v>0</v>
      </c>
      <c r="J25" s="7">
        <f>Tabelle25[[#This Row],[Support shape]]</f>
        <v>0</v>
      </c>
      <c r="K25" s="7">
        <f>Tabelle25[[#This Row],[Support Pretreatment
voc4cat:sample pretreatment voc4cat:0000123]]</f>
        <v>0</v>
      </c>
      <c r="L25" s="7">
        <f>Tabelle25[[#This Row],[Precursor 1 
precursor: voc4cat:0007794]]</f>
        <v>0</v>
      </c>
      <c r="M25" s="7">
        <f>Tabelle25[[#This Row],[Precursor 1 
dct:identifier
SMILES, InChi or InChiKey]]</f>
        <v>0</v>
      </c>
      <c r="N25" s="7">
        <f>Tabelle25[[#This Row],[Precursor 1 amount
voc4cat:sample mass
voc4cat:0007038]]</f>
        <v>0</v>
      </c>
      <c r="O25" s="7">
        <f>Tabelle25[[#This Row],[Precursor 2 
precursor: voc4cat:0007794]]</f>
        <v>0</v>
      </c>
      <c r="P25" s="7">
        <f>Tabelle25[[#This Row],[Precursor 2 
dct:identifier
SMILES, InChi or InChiKey]]</f>
        <v>0</v>
      </c>
      <c r="Q25" s="7">
        <f>Tabelle25[[#This Row],[Precursor 2 amount
voc4cat:sample mass
voc4cat:0007038]]</f>
        <v>0</v>
      </c>
      <c r="R25" s="7">
        <f>Tabelle25[[#This Row],[Precursor 3 
precursor: voc4cat:0007794]]</f>
        <v>0</v>
      </c>
      <c r="S25" s="7">
        <f>Tabelle25[[#This Row],[Precursor 3 
dct:identifier
SMILES, InChi or InChiKey]]</f>
        <v>0</v>
      </c>
      <c r="T25" s="7">
        <f>Tabelle25[[#This Row],[Precursor 3 amount
voc4cat:sample mass
voc4cat:0007038]]</f>
        <v>0</v>
      </c>
      <c r="U25" s="7">
        <f>Tabelle25[[#This Row],[Precursor 4 
precursor: voc4cat:0007794]]</f>
        <v>0</v>
      </c>
      <c r="V25" s="7">
        <f>Tabelle25[[#This Row],[Precursor 4 
dct:identifier
SMILES, InChi or InChiKey]]</f>
        <v>0</v>
      </c>
      <c r="W25" s="7">
        <f>Tabelle25[[#This Row],[Precursor 4 amount
voc4cat:sample mass
voc4cat:0007038]]</f>
        <v>0</v>
      </c>
      <c r="X25" s="7">
        <f>Tabelle25[[#This Row],[additive
voc4cat:0007793]]</f>
        <v>0</v>
      </c>
      <c r="Y25" s="7">
        <f>Tabelle25[[#This Row],[additive
dct:identifier
SMILES, InChi or InChiKey]]</f>
        <v>0</v>
      </c>
      <c r="Z25" s="7">
        <f>Tabelle25[[#This Row],[Additive amount
voc4cat:sample mass
voc4cat:0007038]]</f>
        <v>0</v>
      </c>
      <c r="AA25" s="7">
        <f>Tabelle25[[#This Row],[Metal]]</f>
        <v>0</v>
      </c>
      <c r="AB25" s="7">
        <f>Tabelle25[[#This Row],[Metal loading, nominal (wt%)
voc4cat:0007815]]</f>
        <v>0</v>
      </c>
      <c r="AC25" s="7">
        <f>Tabelle25[[#This Row],[molar ratio metal additive]]</f>
        <v>0</v>
      </c>
      <c r="AD25" s="7">
        <f>Tabelle25[[#This Row],[molar ratio metal metal]]</f>
        <v>0</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row>
    <row r="26" spans="1:207" s="4" customFormat="1" ht="18" customHeight="1">
      <c r="A26" s="7">
        <f>Tabelle25[[#This Row],[institution
voc4cat:0007842]]</f>
        <v>0</v>
      </c>
      <c r="B26" s="7">
        <f>Tabelle25[[#This Row],[catalyst barcode  
(barcode: AFO_/result'#AFR:0002690)]]</f>
        <v>0</v>
      </c>
      <c r="C26" s="7">
        <f>Tabelle25[[#This Row],[identifier  
dct]]</f>
        <v>0</v>
      </c>
      <c r="D26" s="7">
        <f>Tabelle25[[#This Row],[catalyst
voc4cat:0007014]]</f>
        <v>0</v>
      </c>
      <c r="E26" s="7">
        <f>Tabelle25[[#This Row],[Name
dct:title]]</f>
        <v>0</v>
      </c>
      <c r="F26" s="7">
        <f>Tabelle25[[#This Row],[Preparation method
voc4cat:0007016]]</f>
        <v>0</v>
      </c>
      <c r="G26" s="7">
        <f>Tabelle25[[#This Row],[Support  
voc4cat:0007825]]</f>
        <v>0</v>
      </c>
      <c r="H26" s="7">
        <f>Tabelle25[[#This Row],[Support Barcode
(barcode: AFO_/result'#AFR:0002690)]]</f>
        <v>0</v>
      </c>
      <c r="I26" s="7">
        <f>Tabelle25[[#This Row],[Support identifier
dct]]</f>
        <v>0</v>
      </c>
      <c r="J26" s="7">
        <f>Tabelle25[[#This Row],[Support shape]]</f>
        <v>0</v>
      </c>
      <c r="K26" s="7">
        <f>Tabelle25[[#This Row],[Support Pretreatment
voc4cat:sample pretreatment voc4cat:0000123]]</f>
        <v>0</v>
      </c>
      <c r="L26" s="7">
        <f>Tabelle25[[#This Row],[Precursor 1 
precursor: voc4cat:0007794]]</f>
        <v>0</v>
      </c>
      <c r="M26" s="7">
        <f>Tabelle25[[#This Row],[Precursor 1 
dct:identifier
SMILES, InChi or InChiKey]]</f>
        <v>0</v>
      </c>
      <c r="N26" s="7">
        <f>Tabelle25[[#This Row],[Precursor 1 amount
voc4cat:sample mass
voc4cat:0007038]]</f>
        <v>0</v>
      </c>
      <c r="O26" s="7">
        <f>Tabelle25[[#This Row],[Precursor 2 
precursor: voc4cat:0007794]]</f>
        <v>0</v>
      </c>
      <c r="P26" s="7">
        <f>Tabelle25[[#This Row],[Precursor 2 
dct:identifier
SMILES, InChi or InChiKey]]</f>
        <v>0</v>
      </c>
      <c r="Q26" s="7">
        <f>Tabelle25[[#This Row],[Precursor 2 amount
voc4cat:sample mass
voc4cat:0007038]]</f>
        <v>0</v>
      </c>
      <c r="R26" s="7">
        <f>Tabelle25[[#This Row],[Precursor 3 
precursor: voc4cat:0007794]]</f>
        <v>0</v>
      </c>
      <c r="S26" s="7">
        <f>Tabelle25[[#This Row],[Precursor 3 
dct:identifier
SMILES, InChi or InChiKey]]</f>
        <v>0</v>
      </c>
      <c r="T26" s="7">
        <f>Tabelle25[[#This Row],[Precursor 3 amount
voc4cat:sample mass
voc4cat:0007038]]</f>
        <v>0</v>
      </c>
      <c r="U26" s="7">
        <f>Tabelle25[[#This Row],[Precursor 4 
precursor: voc4cat:0007794]]</f>
        <v>0</v>
      </c>
      <c r="V26" s="7">
        <f>Tabelle25[[#This Row],[Precursor 4 
dct:identifier
SMILES, InChi or InChiKey]]</f>
        <v>0</v>
      </c>
      <c r="W26" s="7">
        <f>Tabelle25[[#This Row],[Precursor 4 amount
voc4cat:sample mass
voc4cat:0007038]]</f>
        <v>0</v>
      </c>
      <c r="X26" s="7">
        <f>Tabelle25[[#This Row],[additive
voc4cat:0007793]]</f>
        <v>0</v>
      </c>
      <c r="Y26" s="7">
        <f>Tabelle25[[#This Row],[additive
dct:identifier
SMILES, InChi or InChiKey]]</f>
        <v>0</v>
      </c>
      <c r="Z26" s="7">
        <f>Tabelle25[[#This Row],[Additive amount
voc4cat:sample mass
voc4cat:0007038]]</f>
        <v>0</v>
      </c>
      <c r="AA26" s="7">
        <f>Tabelle25[[#This Row],[Metal]]</f>
        <v>0</v>
      </c>
      <c r="AB26" s="7">
        <f>Tabelle25[[#This Row],[Metal loading, nominal (wt%)
voc4cat:0007815]]</f>
        <v>0</v>
      </c>
      <c r="AC26" s="7">
        <f>Tabelle25[[#This Row],[molar ratio metal additive]]</f>
        <v>0</v>
      </c>
      <c r="AD26" s="7">
        <f>Tabelle25[[#This Row],[molar ratio metal metal]]</f>
        <v>0</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row>
    <row r="27" spans="1:207" s="4" customFormat="1" ht="18" customHeight="1">
      <c r="A27" s="7">
        <f>Tabelle25[[#This Row],[institution
voc4cat:0007842]]</f>
        <v>0</v>
      </c>
      <c r="B27" s="7">
        <f>Tabelle25[[#This Row],[catalyst barcode  
(barcode: AFO_/result'#AFR:0002690)]]</f>
        <v>0</v>
      </c>
      <c r="C27" s="7">
        <f>Tabelle25[[#This Row],[identifier  
dct]]</f>
        <v>0</v>
      </c>
      <c r="D27" s="7">
        <f>Tabelle25[[#This Row],[catalyst
voc4cat:0007014]]</f>
        <v>0</v>
      </c>
      <c r="E27" s="7">
        <f>Tabelle25[[#This Row],[Name
dct:title]]</f>
        <v>0</v>
      </c>
      <c r="F27" s="7">
        <f>Tabelle25[[#This Row],[Preparation method
voc4cat:0007016]]</f>
        <v>0</v>
      </c>
      <c r="G27" s="7">
        <f>Tabelle25[[#This Row],[Support  
voc4cat:0007825]]</f>
        <v>0</v>
      </c>
      <c r="H27" s="7">
        <f>Tabelle25[[#This Row],[Support Barcode
(barcode: AFO_/result'#AFR:0002690)]]</f>
        <v>0</v>
      </c>
      <c r="I27" s="7">
        <f>Tabelle25[[#This Row],[Support identifier
dct]]</f>
        <v>0</v>
      </c>
      <c r="J27" s="7">
        <f>Tabelle25[[#This Row],[Support shape]]</f>
        <v>0</v>
      </c>
      <c r="K27" s="7">
        <f>Tabelle25[[#This Row],[Support Pretreatment
voc4cat:sample pretreatment voc4cat:0000123]]</f>
        <v>0</v>
      </c>
      <c r="L27" s="7">
        <f>Tabelle25[[#This Row],[Precursor 1 
precursor: voc4cat:0007794]]</f>
        <v>0</v>
      </c>
      <c r="M27" s="7">
        <f>Tabelle25[[#This Row],[Precursor 1 
dct:identifier
SMILES, InChi or InChiKey]]</f>
        <v>0</v>
      </c>
      <c r="N27" s="7">
        <f>Tabelle25[[#This Row],[Precursor 1 amount
voc4cat:sample mass
voc4cat:0007038]]</f>
        <v>0</v>
      </c>
      <c r="O27" s="7">
        <f>Tabelle25[[#This Row],[Precursor 2 
precursor: voc4cat:0007794]]</f>
        <v>0</v>
      </c>
      <c r="P27" s="7">
        <f>Tabelle25[[#This Row],[Precursor 2 
dct:identifier
SMILES, InChi or InChiKey]]</f>
        <v>0</v>
      </c>
      <c r="Q27" s="7">
        <f>Tabelle25[[#This Row],[Precursor 2 amount
voc4cat:sample mass
voc4cat:0007038]]</f>
        <v>0</v>
      </c>
      <c r="R27" s="7">
        <f>Tabelle25[[#This Row],[Precursor 3 
precursor: voc4cat:0007794]]</f>
        <v>0</v>
      </c>
      <c r="S27" s="7">
        <f>Tabelle25[[#This Row],[Precursor 3 
dct:identifier
SMILES, InChi or InChiKey]]</f>
        <v>0</v>
      </c>
      <c r="T27" s="7">
        <f>Tabelle25[[#This Row],[Precursor 3 amount
voc4cat:sample mass
voc4cat:0007038]]</f>
        <v>0</v>
      </c>
      <c r="U27" s="7">
        <f>Tabelle25[[#This Row],[Precursor 4 
precursor: voc4cat:0007794]]</f>
        <v>0</v>
      </c>
      <c r="V27" s="7">
        <f>Tabelle25[[#This Row],[Precursor 4 
dct:identifier
SMILES, InChi or InChiKey]]</f>
        <v>0</v>
      </c>
      <c r="W27" s="7">
        <f>Tabelle25[[#This Row],[Precursor 4 amount
voc4cat:sample mass
voc4cat:0007038]]</f>
        <v>0</v>
      </c>
      <c r="X27" s="7">
        <f>Tabelle25[[#This Row],[additive
voc4cat:0007793]]</f>
        <v>0</v>
      </c>
      <c r="Y27" s="7">
        <f>Tabelle25[[#This Row],[additive
dct:identifier
SMILES, InChi or InChiKey]]</f>
        <v>0</v>
      </c>
      <c r="Z27" s="7">
        <f>Tabelle25[[#This Row],[Additive amount
voc4cat:sample mass
voc4cat:0007038]]</f>
        <v>0</v>
      </c>
      <c r="AA27" s="7">
        <f>Tabelle25[[#This Row],[Metal]]</f>
        <v>0</v>
      </c>
      <c r="AB27" s="7">
        <f>Tabelle25[[#This Row],[Metal loading, nominal (wt%)
voc4cat:0007815]]</f>
        <v>0</v>
      </c>
      <c r="AC27" s="7">
        <f>Tabelle25[[#This Row],[molar ratio metal additive]]</f>
        <v>0</v>
      </c>
      <c r="AD27" s="7">
        <f>Tabelle25[[#This Row],[molar ratio metal metal]]</f>
        <v>0</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row>
    <row r="28" spans="1:207" s="4" customFormat="1" ht="18" customHeight="1">
      <c r="A28" s="7">
        <f>Tabelle25[[#This Row],[institution
voc4cat:0007842]]</f>
        <v>0</v>
      </c>
      <c r="B28" s="7">
        <f>Tabelle25[[#This Row],[catalyst barcode  
(barcode: AFO_/result'#AFR:0002690)]]</f>
        <v>0</v>
      </c>
      <c r="C28" s="7">
        <f>Tabelle25[[#This Row],[identifier  
dct]]</f>
        <v>0</v>
      </c>
      <c r="D28" s="7">
        <f>Tabelle25[[#This Row],[catalyst
voc4cat:0007014]]</f>
        <v>0</v>
      </c>
      <c r="E28" s="7">
        <f>Tabelle25[[#This Row],[Name
dct:title]]</f>
        <v>0</v>
      </c>
      <c r="F28" s="7">
        <f>Tabelle25[[#This Row],[Preparation method
voc4cat:0007016]]</f>
        <v>0</v>
      </c>
      <c r="G28" s="7">
        <f>Tabelle25[[#This Row],[Support  
voc4cat:0007825]]</f>
        <v>0</v>
      </c>
      <c r="H28" s="7">
        <f>Tabelle25[[#This Row],[Support Barcode
(barcode: AFO_/result'#AFR:0002690)]]</f>
        <v>0</v>
      </c>
      <c r="I28" s="7">
        <f>Tabelle25[[#This Row],[Support identifier
dct]]</f>
        <v>0</v>
      </c>
      <c r="J28" s="7">
        <f>Tabelle25[[#This Row],[Support shape]]</f>
        <v>0</v>
      </c>
      <c r="K28" s="7">
        <f>Tabelle25[[#This Row],[Support Pretreatment
voc4cat:sample pretreatment voc4cat:0000123]]</f>
        <v>0</v>
      </c>
      <c r="L28" s="7">
        <f>Tabelle25[[#This Row],[Precursor 1 
precursor: voc4cat:0007794]]</f>
        <v>0</v>
      </c>
      <c r="M28" s="7">
        <f>Tabelle25[[#This Row],[Precursor 1 
dct:identifier
SMILES, InChi or InChiKey]]</f>
        <v>0</v>
      </c>
      <c r="N28" s="7">
        <f>Tabelle25[[#This Row],[Precursor 1 amount
voc4cat:sample mass
voc4cat:0007038]]</f>
        <v>0</v>
      </c>
      <c r="O28" s="7">
        <f>Tabelle25[[#This Row],[Precursor 2 
precursor: voc4cat:0007794]]</f>
        <v>0</v>
      </c>
      <c r="P28" s="7">
        <f>Tabelle25[[#This Row],[Precursor 2 
dct:identifier
SMILES, InChi or InChiKey]]</f>
        <v>0</v>
      </c>
      <c r="Q28" s="7">
        <f>Tabelle25[[#This Row],[Precursor 2 amount
voc4cat:sample mass
voc4cat:0007038]]</f>
        <v>0</v>
      </c>
      <c r="R28" s="7">
        <f>Tabelle25[[#This Row],[Precursor 3 
precursor: voc4cat:0007794]]</f>
        <v>0</v>
      </c>
      <c r="S28" s="7">
        <f>Tabelle25[[#This Row],[Precursor 3 
dct:identifier
SMILES, InChi or InChiKey]]</f>
        <v>0</v>
      </c>
      <c r="T28" s="7">
        <f>Tabelle25[[#This Row],[Precursor 3 amount
voc4cat:sample mass
voc4cat:0007038]]</f>
        <v>0</v>
      </c>
      <c r="U28" s="7">
        <f>Tabelle25[[#This Row],[Precursor 4 
precursor: voc4cat:0007794]]</f>
        <v>0</v>
      </c>
      <c r="V28" s="7">
        <f>Tabelle25[[#This Row],[Precursor 4 
dct:identifier
SMILES, InChi or InChiKey]]</f>
        <v>0</v>
      </c>
      <c r="W28" s="7">
        <f>Tabelle25[[#This Row],[Precursor 4 amount
voc4cat:sample mass
voc4cat:0007038]]</f>
        <v>0</v>
      </c>
      <c r="X28" s="7">
        <f>Tabelle25[[#This Row],[additive
voc4cat:0007793]]</f>
        <v>0</v>
      </c>
      <c r="Y28" s="7">
        <f>Tabelle25[[#This Row],[additive
dct:identifier
SMILES, InChi or InChiKey]]</f>
        <v>0</v>
      </c>
      <c r="Z28" s="7">
        <f>Tabelle25[[#This Row],[Additive amount
voc4cat:sample mass
voc4cat:0007038]]</f>
        <v>0</v>
      </c>
      <c r="AA28" s="7">
        <f>Tabelle25[[#This Row],[Metal]]</f>
        <v>0</v>
      </c>
      <c r="AB28" s="7">
        <f>Tabelle25[[#This Row],[Metal loading, nominal (wt%)
voc4cat:0007815]]</f>
        <v>0</v>
      </c>
      <c r="AC28" s="7">
        <f>Tabelle25[[#This Row],[molar ratio metal additive]]</f>
        <v>0</v>
      </c>
      <c r="AD28" s="7">
        <f>Tabelle25[[#This Row],[molar ratio metal metal]]</f>
        <v>0</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row>
    <row r="29" spans="1:207" s="4" customFormat="1" ht="18" customHeight="1">
      <c r="A29" s="7">
        <f>Tabelle25[[#This Row],[institution
voc4cat:0007842]]</f>
        <v>0</v>
      </c>
      <c r="B29" s="7">
        <f>Tabelle25[[#This Row],[catalyst barcode  
(barcode: AFO_/result'#AFR:0002690)]]</f>
        <v>0</v>
      </c>
      <c r="C29" s="7">
        <f>Tabelle25[[#This Row],[identifier  
dct]]</f>
        <v>0</v>
      </c>
      <c r="D29" s="7">
        <f>Tabelle25[[#This Row],[catalyst
voc4cat:0007014]]</f>
        <v>0</v>
      </c>
      <c r="E29" s="7">
        <f>Tabelle25[[#This Row],[Name
dct:title]]</f>
        <v>0</v>
      </c>
      <c r="F29" s="7">
        <f>Tabelle25[[#This Row],[Preparation method
voc4cat:0007016]]</f>
        <v>0</v>
      </c>
      <c r="G29" s="7">
        <f>Tabelle25[[#This Row],[Support  
voc4cat:0007825]]</f>
        <v>0</v>
      </c>
      <c r="H29" s="7">
        <f>Tabelle25[[#This Row],[Support Barcode
(barcode: AFO_/result'#AFR:0002690)]]</f>
        <v>0</v>
      </c>
      <c r="I29" s="7">
        <f>Tabelle25[[#This Row],[Support identifier
dct]]</f>
        <v>0</v>
      </c>
      <c r="J29" s="7">
        <f>Tabelle25[[#This Row],[Support shape]]</f>
        <v>0</v>
      </c>
      <c r="K29" s="7">
        <f>Tabelle25[[#This Row],[Support Pretreatment
voc4cat:sample pretreatment voc4cat:0000123]]</f>
        <v>0</v>
      </c>
      <c r="L29" s="7">
        <f>Tabelle25[[#This Row],[Precursor 1 
precursor: voc4cat:0007794]]</f>
        <v>0</v>
      </c>
      <c r="M29" s="7">
        <f>Tabelle25[[#This Row],[Precursor 1 
dct:identifier
SMILES, InChi or InChiKey]]</f>
        <v>0</v>
      </c>
      <c r="N29" s="7">
        <f>Tabelle25[[#This Row],[Precursor 1 amount
voc4cat:sample mass
voc4cat:0007038]]</f>
        <v>0</v>
      </c>
      <c r="O29" s="7">
        <f>Tabelle25[[#This Row],[Precursor 2 
precursor: voc4cat:0007794]]</f>
        <v>0</v>
      </c>
      <c r="P29" s="7">
        <f>Tabelle25[[#This Row],[Precursor 2 
dct:identifier
SMILES, InChi or InChiKey]]</f>
        <v>0</v>
      </c>
      <c r="Q29" s="7">
        <f>Tabelle25[[#This Row],[Precursor 2 amount
voc4cat:sample mass
voc4cat:0007038]]</f>
        <v>0</v>
      </c>
      <c r="R29" s="7">
        <f>Tabelle25[[#This Row],[Precursor 3 
precursor: voc4cat:0007794]]</f>
        <v>0</v>
      </c>
      <c r="S29" s="7">
        <f>Tabelle25[[#This Row],[Precursor 3 
dct:identifier
SMILES, InChi or InChiKey]]</f>
        <v>0</v>
      </c>
      <c r="T29" s="7">
        <f>Tabelle25[[#This Row],[Precursor 3 amount
voc4cat:sample mass
voc4cat:0007038]]</f>
        <v>0</v>
      </c>
      <c r="U29" s="7">
        <f>Tabelle25[[#This Row],[Precursor 4 
precursor: voc4cat:0007794]]</f>
        <v>0</v>
      </c>
      <c r="V29" s="7">
        <f>Tabelle25[[#This Row],[Precursor 4 
dct:identifier
SMILES, InChi or InChiKey]]</f>
        <v>0</v>
      </c>
      <c r="W29" s="7">
        <f>Tabelle25[[#This Row],[Precursor 4 amount
voc4cat:sample mass
voc4cat:0007038]]</f>
        <v>0</v>
      </c>
      <c r="X29" s="7">
        <f>Tabelle25[[#This Row],[additive
voc4cat:0007793]]</f>
        <v>0</v>
      </c>
      <c r="Y29" s="7">
        <f>Tabelle25[[#This Row],[additive
dct:identifier
SMILES, InChi or InChiKey]]</f>
        <v>0</v>
      </c>
      <c r="Z29" s="7">
        <f>Tabelle25[[#This Row],[Additive amount
voc4cat:sample mass
voc4cat:0007038]]</f>
        <v>0</v>
      </c>
      <c r="AA29" s="7">
        <f>Tabelle25[[#This Row],[Metal]]</f>
        <v>0</v>
      </c>
      <c r="AB29" s="7">
        <f>Tabelle25[[#This Row],[Metal loading, nominal (wt%)
voc4cat:0007815]]</f>
        <v>0</v>
      </c>
      <c r="AC29" s="7">
        <f>Tabelle25[[#This Row],[molar ratio metal additive]]</f>
        <v>0</v>
      </c>
      <c r="AD29" s="7">
        <f>Tabelle25[[#This Row],[molar ratio metal metal]]</f>
        <v>0</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row>
    <row r="30" spans="1:207" s="4" customFormat="1" ht="18" customHeight="1">
      <c r="A30" s="7">
        <f>Tabelle25[[#This Row],[institution
voc4cat:0007842]]</f>
        <v>0</v>
      </c>
      <c r="B30" s="7">
        <f>Tabelle25[[#This Row],[catalyst barcode  
(barcode: AFO_/result'#AFR:0002690)]]</f>
        <v>0</v>
      </c>
      <c r="C30" s="7">
        <f>Tabelle25[[#This Row],[identifier  
dct]]</f>
        <v>0</v>
      </c>
      <c r="D30" s="7">
        <f>Tabelle25[[#This Row],[catalyst
voc4cat:0007014]]</f>
        <v>0</v>
      </c>
      <c r="E30" s="7">
        <f>Tabelle25[[#This Row],[Name
dct:title]]</f>
        <v>0</v>
      </c>
      <c r="F30" s="7">
        <f>Tabelle25[[#This Row],[Preparation method
voc4cat:0007016]]</f>
        <v>0</v>
      </c>
      <c r="G30" s="7">
        <f>Tabelle25[[#This Row],[Support  
voc4cat:0007825]]</f>
        <v>0</v>
      </c>
      <c r="H30" s="7">
        <f>Tabelle25[[#This Row],[Support Barcode
(barcode: AFO_/result'#AFR:0002690)]]</f>
        <v>0</v>
      </c>
      <c r="I30" s="7">
        <f>Tabelle25[[#This Row],[Support identifier
dct]]</f>
        <v>0</v>
      </c>
      <c r="J30" s="7">
        <f>Tabelle25[[#This Row],[Support shape]]</f>
        <v>0</v>
      </c>
      <c r="K30" s="7">
        <f>Tabelle25[[#This Row],[Support Pretreatment
voc4cat:sample pretreatment voc4cat:0000123]]</f>
        <v>0</v>
      </c>
      <c r="L30" s="7">
        <f>Tabelle25[[#This Row],[Precursor 1 
precursor: voc4cat:0007794]]</f>
        <v>0</v>
      </c>
      <c r="M30" s="7">
        <f>Tabelle25[[#This Row],[Precursor 1 
dct:identifier
SMILES, InChi or InChiKey]]</f>
        <v>0</v>
      </c>
      <c r="N30" s="7">
        <f>Tabelle25[[#This Row],[Precursor 1 amount
voc4cat:sample mass
voc4cat:0007038]]</f>
        <v>0</v>
      </c>
      <c r="O30" s="7">
        <f>Tabelle25[[#This Row],[Precursor 2 
precursor: voc4cat:0007794]]</f>
        <v>0</v>
      </c>
      <c r="P30" s="7">
        <f>Tabelle25[[#This Row],[Precursor 2 
dct:identifier
SMILES, InChi or InChiKey]]</f>
        <v>0</v>
      </c>
      <c r="Q30" s="7">
        <f>Tabelle25[[#This Row],[Precursor 2 amount
voc4cat:sample mass
voc4cat:0007038]]</f>
        <v>0</v>
      </c>
      <c r="R30" s="7">
        <f>Tabelle25[[#This Row],[Precursor 3 
precursor: voc4cat:0007794]]</f>
        <v>0</v>
      </c>
      <c r="S30" s="7">
        <f>Tabelle25[[#This Row],[Precursor 3 
dct:identifier
SMILES, InChi or InChiKey]]</f>
        <v>0</v>
      </c>
      <c r="T30" s="7">
        <f>Tabelle25[[#This Row],[Precursor 3 amount
voc4cat:sample mass
voc4cat:0007038]]</f>
        <v>0</v>
      </c>
      <c r="U30" s="7">
        <f>Tabelle25[[#This Row],[Precursor 4 
precursor: voc4cat:0007794]]</f>
        <v>0</v>
      </c>
      <c r="V30" s="7">
        <f>Tabelle25[[#This Row],[Precursor 4 
dct:identifier
SMILES, InChi or InChiKey]]</f>
        <v>0</v>
      </c>
      <c r="W30" s="7">
        <f>Tabelle25[[#This Row],[Precursor 4 amount
voc4cat:sample mass
voc4cat:0007038]]</f>
        <v>0</v>
      </c>
      <c r="X30" s="7">
        <f>Tabelle25[[#This Row],[additive
voc4cat:0007793]]</f>
        <v>0</v>
      </c>
      <c r="Y30" s="7">
        <f>Tabelle25[[#This Row],[additive
dct:identifier
SMILES, InChi or InChiKey]]</f>
        <v>0</v>
      </c>
      <c r="Z30" s="7">
        <f>Tabelle25[[#This Row],[Additive amount
voc4cat:sample mass
voc4cat:0007038]]</f>
        <v>0</v>
      </c>
      <c r="AA30" s="7">
        <f>Tabelle25[[#This Row],[Metal]]</f>
        <v>0</v>
      </c>
      <c r="AB30" s="7">
        <f>Tabelle25[[#This Row],[Metal loading, nominal (wt%)
voc4cat:0007815]]</f>
        <v>0</v>
      </c>
      <c r="AC30" s="7">
        <f>Tabelle25[[#This Row],[molar ratio metal additive]]</f>
        <v>0</v>
      </c>
      <c r="AD30" s="7">
        <f>Tabelle25[[#This Row],[molar ratio metal metal]]</f>
        <v>0</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row>
    <row r="31" spans="1:207" s="4" customFormat="1" ht="18" customHeight="1">
      <c r="A31" s="7">
        <f>Tabelle25[[#This Row],[institution
voc4cat:0007842]]</f>
        <v>0</v>
      </c>
      <c r="B31" s="7">
        <f>Tabelle25[[#This Row],[catalyst barcode  
(barcode: AFO_/result'#AFR:0002690)]]</f>
        <v>0</v>
      </c>
      <c r="C31" s="7">
        <f>Tabelle25[[#This Row],[identifier  
dct]]</f>
        <v>0</v>
      </c>
      <c r="D31" s="7">
        <f>Tabelle25[[#This Row],[catalyst
voc4cat:0007014]]</f>
        <v>0</v>
      </c>
      <c r="E31" s="7">
        <f>Tabelle25[[#This Row],[Name
dct:title]]</f>
        <v>0</v>
      </c>
      <c r="F31" s="7">
        <f>Tabelle25[[#This Row],[Preparation method
voc4cat:0007016]]</f>
        <v>0</v>
      </c>
      <c r="G31" s="7">
        <f>Tabelle25[[#This Row],[Support  
voc4cat:0007825]]</f>
        <v>0</v>
      </c>
      <c r="H31" s="7">
        <f>Tabelle25[[#This Row],[Support Barcode
(barcode: AFO_/result'#AFR:0002690)]]</f>
        <v>0</v>
      </c>
      <c r="I31" s="7">
        <f>Tabelle25[[#This Row],[Support identifier
dct]]</f>
        <v>0</v>
      </c>
      <c r="J31" s="7">
        <f>Tabelle25[[#This Row],[Support shape]]</f>
        <v>0</v>
      </c>
      <c r="K31" s="7">
        <f>Tabelle25[[#This Row],[Support Pretreatment
voc4cat:sample pretreatment voc4cat:0000123]]</f>
        <v>0</v>
      </c>
      <c r="L31" s="7">
        <f>Tabelle25[[#This Row],[Precursor 1 
precursor: voc4cat:0007794]]</f>
        <v>0</v>
      </c>
      <c r="M31" s="7">
        <f>Tabelle25[[#This Row],[Precursor 1 
dct:identifier
SMILES, InChi or InChiKey]]</f>
        <v>0</v>
      </c>
      <c r="N31" s="7">
        <f>Tabelle25[[#This Row],[Precursor 1 amount
voc4cat:sample mass
voc4cat:0007038]]</f>
        <v>0</v>
      </c>
      <c r="O31" s="7">
        <f>Tabelle25[[#This Row],[Precursor 2 
precursor: voc4cat:0007794]]</f>
        <v>0</v>
      </c>
      <c r="P31" s="7">
        <f>Tabelle25[[#This Row],[Precursor 2 
dct:identifier
SMILES, InChi or InChiKey]]</f>
        <v>0</v>
      </c>
      <c r="Q31" s="7">
        <f>Tabelle25[[#This Row],[Precursor 2 amount
voc4cat:sample mass
voc4cat:0007038]]</f>
        <v>0</v>
      </c>
      <c r="R31" s="7">
        <f>Tabelle25[[#This Row],[Precursor 3 
precursor: voc4cat:0007794]]</f>
        <v>0</v>
      </c>
      <c r="S31" s="7">
        <f>Tabelle25[[#This Row],[Precursor 3 
dct:identifier
SMILES, InChi or InChiKey]]</f>
        <v>0</v>
      </c>
      <c r="T31" s="7">
        <f>Tabelle25[[#This Row],[Precursor 3 amount
voc4cat:sample mass
voc4cat:0007038]]</f>
        <v>0</v>
      </c>
      <c r="U31" s="7">
        <f>Tabelle25[[#This Row],[Precursor 4 
precursor: voc4cat:0007794]]</f>
        <v>0</v>
      </c>
      <c r="V31" s="7">
        <f>Tabelle25[[#This Row],[Precursor 4 
dct:identifier
SMILES, InChi or InChiKey]]</f>
        <v>0</v>
      </c>
      <c r="W31" s="7">
        <f>Tabelle25[[#This Row],[Precursor 4 amount
voc4cat:sample mass
voc4cat:0007038]]</f>
        <v>0</v>
      </c>
      <c r="X31" s="7">
        <f>Tabelle25[[#This Row],[additive
voc4cat:0007793]]</f>
        <v>0</v>
      </c>
      <c r="Y31" s="7">
        <f>Tabelle25[[#This Row],[additive
dct:identifier
SMILES, InChi or InChiKey]]</f>
        <v>0</v>
      </c>
      <c r="Z31" s="7">
        <f>Tabelle25[[#This Row],[Additive amount
voc4cat:sample mass
voc4cat:0007038]]</f>
        <v>0</v>
      </c>
      <c r="AA31" s="7">
        <f>Tabelle25[[#This Row],[Metal]]</f>
        <v>0</v>
      </c>
      <c r="AB31" s="7">
        <f>Tabelle25[[#This Row],[Metal loading, nominal (wt%)
voc4cat:0007815]]</f>
        <v>0</v>
      </c>
      <c r="AC31" s="7">
        <f>Tabelle25[[#This Row],[molar ratio metal additive]]</f>
        <v>0</v>
      </c>
      <c r="AD31" s="7">
        <f>Tabelle25[[#This Row],[molar ratio metal metal]]</f>
        <v>0</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row>
    <row r="32" spans="1:207" s="4" customFormat="1" ht="18" customHeight="1">
      <c r="A32" s="7">
        <f>Tabelle25[[#This Row],[institution
voc4cat:0007842]]</f>
        <v>0</v>
      </c>
      <c r="B32" s="7">
        <f>Tabelle25[[#This Row],[catalyst barcode  
(barcode: AFO_/result'#AFR:0002690)]]</f>
        <v>0</v>
      </c>
      <c r="C32" s="7">
        <f>Tabelle25[[#This Row],[identifier  
dct]]</f>
        <v>0</v>
      </c>
      <c r="D32" s="7">
        <f>Tabelle25[[#This Row],[catalyst
voc4cat:0007014]]</f>
        <v>0</v>
      </c>
      <c r="E32" s="7">
        <f>Tabelle25[[#This Row],[Name
dct:title]]</f>
        <v>0</v>
      </c>
      <c r="F32" s="7">
        <f>Tabelle25[[#This Row],[Preparation method
voc4cat:0007016]]</f>
        <v>0</v>
      </c>
      <c r="G32" s="7">
        <f>Tabelle25[[#This Row],[Support  
voc4cat:0007825]]</f>
        <v>0</v>
      </c>
      <c r="H32" s="7">
        <f>Tabelle25[[#This Row],[Support Barcode
(barcode: AFO_/result'#AFR:0002690)]]</f>
        <v>0</v>
      </c>
      <c r="I32" s="7">
        <f>Tabelle25[[#This Row],[Support identifier
dct]]</f>
        <v>0</v>
      </c>
      <c r="J32" s="7">
        <f>Tabelle25[[#This Row],[Support shape]]</f>
        <v>0</v>
      </c>
      <c r="K32" s="7">
        <f>Tabelle25[[#This Row],[Support Pretreatment
voc4cat:sample pretreatment voc4cat:0000123]]</f>
        <v>0</v>
      </c>
      <c r="L32" s="7">
        <f>Tabelle25[[#This Row],[Precursor 1 
precursor: voc4cat:0007794]]</f>
        <v>0</v>
      </c>
      <c r="M32" s="7">
        <f>Tabelle25[[#This Row],[Precursor 1 
dct:identifier
SMILES, InChi or InChiKey]]</f>
        <v>0</v>
      </c>
      <c r="N32" s="7">
        <f>Tabelle25[[#This Row],[Precursor 1 amount
voc4cat:sample mass
voc4cat:0007038]]</f>
        <v>0</v>
      </c>
      <c r="O32" s="7">
        <f>Tabelle25[[#This Row],[Precursor 2 
precursor: voc4cat:0007794]]</f>
        <v>0</v>
      </c>
      <c r="P32" s="7">
        <f>Tabelle25[[#This Row],[Precursor 2 
dct:identifier
SMILES, InChi or InChiKey]]</f>
        <v>0</v>
      </c>
      <c r="Q32" s="7">
        <f>Tabelle25[[#This Row],[Precursor 2 amount
voc4cat:sample mass
voc4cat:0007038]]</f>
        <v>0</v>
      </c>
      <c r="R32" s="7">
        <f>Tabelle25[[#This Row],[Precursor 3 
precursor: voc4cat:0007794]]</f>
        <v>0</v>
      </c>
      <c r="S32" s="7">
        <f>Tabelle25[[#This Row],[Precursor 3 
dct:identifier
SMILES, InChi or InChiKey]]</f>
        <v>0</v>
      </c>
      <c r="T32" s="7">
        <f>Tabelle25[[#This Row],[Precursor 3 amount
voc4cat:sample mass
voc4cat:0007038]]</f>
        <v>0</v>
      </c>
      <c r="U32" s="7">
        <f>Tabelle25[[#This Row],[Precursor 4 
precursor: voc4cat:0007794]]</f>
        <v>0</v>
      </c>
      <c r="V32" s="7">
        <f>Tabelle25[[#This Row],[Precursor 4 
dct:identifier
SMILES, InChi or InChiKey]]</f>
        <v>0</v>
      </c>
      <c r="W32" s="7">
        <f>Tabelle25[[#This Row],[Precursor 4 amount
voc4cat:sample mass
voc4cat:0007038]]</f>
        <v>0</v>
      </c>
      <c r="X32" s="7">
        <f>Tabelle25[[#This Row],[additive
voc4cat:0007793]]</f>
        <v>0</v>
      </c>
      <c r="Y32" s="7">
        <f>Tabelle25[[#This Row],[additive
dct:identifier
SMILES, InChi or InChiKey]]</f>
        <v>0</v>
      </c>
      <c r="Z32" s="7">
        <f>Tabelle25[[#This Row],[Additive amount
voc4cat:sample mass
voc4cat:0007038]]</f>
        <v>0</v>
      </c>
      <c r="AA32" s="7">
        <f>Tabelle25[[#This Row],[Metal]]</f>
        <v>0</v>
      </c>
      <c r="AB32" s="7">
        <f>Tabelle25[[#This Row],[Metal loading, nominal (wt%)
voc4cat:0007815]]</f>
        <v>0</v>
      </c>
      <c r="AC32" s="7">
        <f>Tabelle25[[#This Row],[molar ratio metal additive]]</f>
        <v>0</v>
      </c>
      <c r="AD32" s="7">
        <f>Tabelle25[[#This Row],[molar ratio metal metal]]</f>
        <v>0</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row>
    <row r="33" spans="1:207" s="4" customFormat="1" ht="18" customHeight="1">
      <c r="A33" s="7">
        <f>Tabelle25[[#This Row],[institution
voc4cat:0007842]]</f>
        <v>0</v>
      </c>
      <c r="B33" s="7">
        <f>Tabelle25[[#This Row],[catalyst barcode  
(barcode: AFO_/result'#AFR:0002690)]]</f>
        <v>0</v>
      </c>
      <c r="C33" s="7">
        <f>Tabelle25[[#This Row],[identifier  
dct]]</f>
        <v>0</v>
      </c>
      <c r="D33" s="7">
        <f>Tabelle25[[#This Row],[catalyst
voc4cat:0007014]]</f>
        <v>0</v>
      </c>
      <c r="E33" s="7">
        <f>Tabelle25[[#This Row],[Name
dct:title]]</f>
        <v>0</v>
      </c>
      <c r="F33" s="7">
        <f>Tabelle25[[#This Row],[Preparation method
voc4cat:0007016]]</f>
        <v>0</v>
      </c>
      <c r="G33" s="7">
        <f>Tabelle25[[#This Row],[Support  
voc4cat:0007825]]</f>
        <v>0</v>
      </c>
      <c r="H33" s="7">
        <f>Tabelle25[[#This Row],[Support Barcode
(barcode: AFO_/result'#AFR:0002690)]]</f>
        <v>0</v>
      </c>
      <c r="I33" s="7">
        <f>Tabelle25[[#This Row],[Support identifier
dct]]</f>
        <v>0</v>
      </c>
      <c r="J33" s="7">
        <f>Tabelle25[[#This Row],[Support shape]]</f>
        <v>0</v>
      </c>
      <c r="K33" s="7">
        <f>Tabelle25[[#This Row],[Support Pretreatment
voc4cat:sample pretreatment voc4cat:0000123]]</f>
        <v>0</v>
      </c>
      <c r="L33" s="7">
        <f>Tabelle25[[#This Row],[Precursor 1 
precursor: voc4cat:0007794]]</f>
        <v>0</v>
      </c>
      <c r="M33" s="7">
        <f>Tabelle25[[#This Row],[Precursor 1 
dct:identifier
SMILES, InChi or InChiKey]]</f>
        <v>0</v>
      </c>
      <c r="N33" s="7">
        <f>Tabelle25[[#This Row],[Precursor 1 amount
voc4cat:sample mass
voc4cat:0007038]]</f>
        <v>0</v>
      </c>
      <c r="O33" s="7">
        <f>Tabelle25[[#This Row],[Precursor 2 
precursor: voc4cat:0007794]]</f>
        <v>0</v>
      </c>
      <c r="P33" s="7">
        <f>Tabelle25[[#This Row],[Precursor 2 
dct:identifier
SMILES, InChi or InChiKey]]</f>
        <v>0</v>
      </c>
      <c r="Q33" s="7">
        <f>Tabelle25[[#This Row],[Precursor 2 amount
voc4cat:sample mass
voc4cat:0007038]]</f>
        <v>0</v>
      </c>
      <c r="R33" s="7">
        <f>Tabelle25[[#This Row],[Precursor 3 
precursor: voc4cat:0007794]]</f>
        <v>0</v>
      </c>
      <c r="S33" s="7">
        <f>Tabelle25[[#This Row],[Precursor 3 
dct:identifier
SMILES, InChi or InChiKey]]</f>
        <v>0</v>
      </c>
      <c r="T33" s="7">
        <f>Tabelle25[[#This Row],[Precursor 3 amount
voc4cat:sample mass
voc4cat:0007038]]</f>
        <v>0</v>
      </c>
      <c r="U33" s="7">
        <f>Tabelle25[[#This Row],[Precursor 4 
precursor: voc4cat:0007794]]</f>
        <v>0</v>
      </c>
      <c r="V33" s="7">
        <f>Tabelle25[[#This Row],[Precursor 4 
dct:identifier
SMILES, InChi or InChiKey]]</f>
        <v>0</v>
      </c>
      <c r="W33" s="7">
        <f>Tabelle25[[#This Row],[Precursor 4 amount
voc4cat:sample mass
voc4cat:0007038]]</f>
        <v>0</v>
      </c>
      <c r="X33" s="7">
        <f>Tabelle25[[#This Row],[additive
voc4cat:0007793]]</f>
        <v>0</v>
      </c>
      <c r="Y33" s="7">
        <f>Tabelle25[[#This Row],[additive
dct:identifier
SMILES, InChi or InChiKey]]</f>
        <v>0</v>
      </c>
      <c r="Z33" s="7">
        <f>Tabelle25[[#This Row],[Additive amount
voc4cat:sample mass
voc4cat:0007038]]</f>
        <v>0</v>
      </c>
      <c r="AA33" s="7">
        <f>Tabelle25[[#This Row],[Metal]]</f>
        <v>0</v>
      </c>
      <c r="AB33" s="7">
        <f>Tabelle25[[#This Row],[Metal loading, nominal (wt%)
voc4cat:0007815]]</f>
        <v>0</v>
      </c>
      <c r="AC33" s="7">
        <f>Tabelle25[[#This Row],[molar ratio metal additive]]</f>
        <v>0</v>
      </c>
      <c r="AD33" s="7">
        <f>Tabelle25[[#This Row],[molar ratio metal metal]]</f>
        <v>0</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row>
    <row r="34" spans="1:207" s="4" customFormat="1" ht="18" customHeight="1">
      <c r="A34" s="7">
        <f>Tabelle25[[#This Row],[institution
voc4cat:0007842]]</f>
        <v>0</v>
      </c>
      <c r="B34" s="7">
        <f>Tabelle25[[#This Row],[catalyst barcode  
(barcode: AFO_/result'#AFR:0002690)]]</f>
        <v>0</v>
      </c>
      <c r="C34" s="7">
        <f>Tabelle25[[#This Row],[identifier  
dct]]</f>
        <v>0</v>
      </c>
      <c r="D34" s="7">
        <f>Tabelle25[[#This Row],[catalyst
voc4cat:0007014]]</f>
        <v>0</v>
      </c>
      <c r="E34" s="7">
        <f>Tabelle25[[#This Row],[Name
dct:title]]</f>
        <v>0</v>
      </c>
      <c r="F34" s="7">
        <f>Tabelle25[[#This Row],[Preparation method
voc4cat:0007016]]</f>
        <v>0</v>
      </c>
      <c r="G34" s="7">
        <f>Tabelle25[[#This Row],[Support  
voc4cat:0007825]]</f>
        <v>0</v>
      </c>
      <c r="H34" s="7">
        <f>Tabelle25[[#This Row],[Support Barcode
(barcode: AFO_/result'#AFR:0002690)]]</f>
        <v>0</v>
      </c>
      <c r="I34" s="7">
        <f>Tabelle25[[#This Row],[Support identifier
dct]]</f>
        <v>0</v>
      </c>
      <c r="J34" s="7">
        <f>Tabelle25[[#This Row],[Support shape]]</f>
        <v>0</v>
      </c>
      <c r="K34" s="7">
        <f>Tabelle25[[#This Row],[Support Pretreatment
voc4cat:sample pretreatment voc4cat:0000123]]</f>
        <v>0</v>
      </c>
      <c r="L34" s="7">
        <f>Tabelle25[[#This Row],[Precursor 1 
precursor: voc4cat:0007794]]</f>
        <v>0</v>
      </c>
      <c r="M34" s="7">
        <f>Tabelle25[[#This Row],[Precursor 1 
dct:identifier
SMILES, InChi or InChiKey]]</f>
        <v>0</v>
      </c>
      <c r="N34" s="7">
        <f>Tabelle25[[#This Row],[Precursor 1 amount
voc4cat:sample mass
voc4cat:0007038]]</f>
        <v>0</v>
      </c>
      <c r="O34" s="7">
        <f>Tabelle25[[#This Row],[Precursor 2 
precursor: voc4cat:0007794]]</f>
        <v>0</v>
      </c>
      <c r="P34" s="7">
        <f>Tabelle25[[#This Row],[Precursor 2 
dct:identifier
SMILES, InChi or InChiKey]]</f>
        <v>0</v>
      </c>
      <c r="Q34" s="7">
        <f>Tabelle25[[#This Row],[Precursor 2 amount
voc4cat:sample mass
voc4cat:0007038]]</f>
        <v>0</v>
      </c>
      <c r="R34" s="7">
        <f>Tabelle25[[#This Row],[Precursor 3 
precursor: voc4cat:0007794]]</f>
        <v>0</v>
      </c>
      <c r="S34" s="7">
        <f>Tabelle25[[#This Row],[Precursor 3 
dct:identifier
SMILES, InChi or InChiKey]]</f>
        <v>0</v>
      </c>
      <c r="T34" s="7">
        <f>Tabelle25[[#This Row],[Precursor 3 amount
voc4cat:sample mass
voc4cat:0007038]]</f>
        <v>0</v>
      </c>
      <c r="U34" s="7">
        <f>Tabelle25[[#This Row],[Precursor 4 
precursor: voc4cat:0007794]]</f>
        <v>0</v>
      </c>
      <c r="V34" s="7">
        <f>Tabelle25[[#This Row],[Precursor 4 
dct:identifier
SMILES, InChi or InChiKey]]</f>
        <v>0</v>
      </c>
      <c r="W34" s="7">
        <f>Tabelle25[[#This Row],[Precursor 4 amount
voc4cat:sample mass
voc4cat:0007038]]</f>
        <v>0</v>
      </c>
      <c r="X34" s="7">
        <f>Tabelle25[[#This Row],[additive
voc4cat:0007793]]</f>
        <v>0</v>
      </c>
      <c r="Y34" s="7">
        <f>Tabelle25[[#This Row],[additive
dct:identifier
SMILES, InChi or InChiKey]]</f>
        <v>0</v>
      </c>
      <c r="Z34" s="7">
        <f>Tabelle25[[#This Row],[Additive amount
voc4cat:sample mass
voc4cat:0007038]]</f>
        <v>0</v>
      </c>
      <c r="AA34" s="7">
        <f>Tabelle25[[#This Row],[Metal]]</f>
        <v>0</v>
      </c>
      <c r="AB34" s="7">
        <f>Tabelle25[[#This Row],[Metal loading, nominal (wt%)
voc4cat:0007815]]</f>
        <v>0</v>
      </c>
      <c r="AC34" s="7">
        <f>Tabelle25[[#This Row],[molar ratio metal additive]]</f>
        <v>0</v>
      </c>
      <c r="AD34" s="7">
        <f>Tabelle25[[#This Row],[molar ratio metal metal]]</f>
        <v>0</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row>
    <row r="35" spans="1:207" s="4" customFormat="1" ht="18" customHeight="1">
      <c r="A35" s="7">
        <f>Tabelle25[[#This Row],[institution
voc4cat:0007842]]</f>
        <v>0</v>
      </c>
      <c r="B35" s="7">
        <f>Tabelle25[[#This Row],[catalyst barcode  
(barcode: AFO_/result'#AFR:0002690)]]</f>
        <v>0</v>
      </c>
      <c r="C35" s="7">
        <f>Tabelle25[[#This Row],[identifier  
dct]]</f>
        <v>0</v>
      </c>
      <c r="D35" s="7">
        <f>Tabelle25[[#This Row],[catalyst
voc4cat:0007014]]</f>
        <v>0</v>
      </c>
      <c r="E35" s="7">
        <f>Tabelle25[[#This Row],[Name
dct:title]]</f>
        <v>0</v>
      </c>
      <c r="F35" s="7">
        <f>Tabelle25[[#This Row],[Preparation method
voc4cat:0007016]]</f>
        <v>0</v>
      </c>
      <c r="G35" s="7">
        <f>Tabelle25[[#This Row],[Support  
voc4cat:0007825]]</f>
        <v>0</v>
      </c>
      <c r="H35" s="7">
        <f>Tabelle25[[#This Row],[Support Barcode
(barcode: AFO_/result'#AFR:0002690)]]</f>
        <v>0</v>
      </c>
      <c r="I35" s="7">
        <f>Tabelle25[[#This Row],[Support identifier
dct]]</f>
        <v>0</v>
      </c>
      <c r="J35" s="7">
        <f>Tabelle25[[#This Row],[Support shape]]</f>
        <v>0</v>
      </c>
      <c r="K35" s="7">
        <f>Tabelle25[[#This Row],[Support Pretreatment
voc4cat:sample pretreatment voc4cat:0000123]]</f>
        <v>0</v>
      </c>
      <c r="L35" s="7">
        <f>Tabelle25[[#This Row],[Precursor 1 
precursor: voc4cat:0007794]]</f>
        <v>0</v>
      </c>
      <c r="M35" s="7">
        <f>Tabelle25[[#This Row],[Precursor 1 
dct:identifier
SMILES, InChi or InChiKey]]</f>
        <v>0</v>
      </c>
      <c r="N35" s="7">
        <f>Tabelle25[[#This Row],[Precursor 1 amount
voc4cat:sample mass
voc4cat:0007038]]</f>
        <v>0</v>
      </c>
      <c r="O35" s="7">
        <f>Tabelle25[[#This Row],[Precursor 2 
precursor: voc4cat:0007794]]</f>
        <v>0</v>
      </c>
      <c r="P35" s="7">
        <f>Tabelle25[[#This Row],[Precursor 2 
dct:identifier
SMILES, InChi or InChiKey]]</f>
        <v>0</v>
      </c>
      <c r="Q35" s="7">
        <f>Tabelle25[[#This Row],[Precursor 2 amount
voc4cat:sample mass
voc4cat:0007038]]</f>
        <v>0</v>
      </c>
      <c r="R35" s="7">
        <f>Tabelle25[[#This Row],[Precursor 3 
precursor: voc4cat:0007794]]</f>
        <v>0</v>
      </c>
      <c r="S35" s="7">
        <f>Tabelle25[[#This Row],[Precursor 3 
dct:identifier
SMILES, InChi or InChiKey]]</f>
        <v>0</v>
      </c>
      <c r="T35" s="7">
        <f>Tabelle25[[#This Row],[Precursor 3 amount
voc4cat:sample mass
voc4cat:0007038]]</f>
        <v>0</v>
      </c>
      <c r="U35" s="7">
        <f>Tabelle25[[#This Row],[Precursor 4 
precursor: voc4cat:0007794]]</f>
        <v>0</v>
      </c>
      <c r="V35" s="7">
        <f>Tabelle25[[#This Row],[Precursor 4 
dct:identifier
SMILES, InChi or InChiKey]]</f>
        <v>0</v>
      </c>
      <c r="W35" s="7">
        <f>Tabelle25[[#This Row],[Precursor 4 amount
voc4cat:sample mass
voc4cat:0007038]]</f>
        <v>0</v>
      </c>
      <c r="X35" s="7">
        <f>Tabelle25[[#This Row],[additive
voc4cat:0007793]]</f>
        <v>0</v>
      </c>
      <c r="Y35" s="7">
        <f>Tabelle25[[#This Row],[additive
dct:identifier
SMILES, InChi or InChiKey]]</f>
        <v>0</v>
      </c>
      <c r="Z35" s="7">
        <f>Tabelle25[[#This Row],[Additive amount
voc4cat:sample mass
voc4cat:0007038]]</f>
        <v>0</v>
      </c>
      <c r="AA35" s="7">
        <f>Tabelle25[[#This Row],[Metal]]</f>
        <v>0</v>
      </c>
      <c r="AB35" s="7">
        <f>Tabelle25[[#This Row],[Metal loading, nominal (wt%)
voc4cat:0007815]]</f>
        <v>0</v>
      </c>
      <c r="AC35" s="7">
        <f>Tabelle25[[#This Row],[molar ratio metal additive]]</f>
        <v>0</v>
      </c>
      <c r="AD35" s="7">
        <f>Tabelle25[[#This Row],[molar ratio metal metal]]</f>
        <v>0</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row>
    <row r="36" spans="1:207" s="4" customFormat="1" ht="18" customHeight="1">
      <c r="A36" s="7">
        <f>Tabelle25[[#This Row],[institution
voc4cat:0007842]]</f>
        <v>0</v>
      </c>
      <c r="B36" s="7">
        <f>Tabelle25[[#This Row],[catalyst barcode  
(barcode: AFO_/result'#AFR:0002690)]]</f>
        <v>0</v>
      </c>
      <c r="C36" s="7">
        <f>Tabelle25[[#This Row],[identifier  
dct]]</f>
        <v>0</v>
      </c>
      <c r="D36" s="7">
        <f>Tabelle25[[#This Row],[catalyst
voc4cat:0007014]]</f>
        <v>0</v>
      </c>
      <c r="E36" s="7">
        <f>Tabelle25[[#This Row],[Name
dct:title]]</f>
        <v>0</v>
      </c>
      <c r="F36" s="7">
        <f>Tabelle25[[#This Row],[Preparation method
voc4cat:0007016]]</f>
        <v>0</v>
      </c>
      <c r="G36" s="7">
        <f>Tabelle25[[#This Row],[Support  
voc4cat:0007825]]</f>
        <v>0</v>
      </c>
      <c r="H36" s="7">
        <f>Tabelle25[[#This Row],[Support Barcode
(barcode: AFO_/result'#AFR:0002690)]]</f>
        <v>0</v>
      </c>
      <c r="I36" s="7">
        <f>Tabelle25[[#This Row],[Support identifier
dct]]</f>
        <v>0</v>
      </c>
      <c r="J36" s="7">
        <f>Tabelle25[[#This Row],[Support shape]]</f>
        <v>0</v>
      </c>
      <c r="K36" s="7">
        <f>Tabelle25[[#This Row],[Support Pretreatment
voc4cat:sample pretreatment voc4cat:0000123]]</f>
        <v>0</v>
      </c>
      <c r="L36" s="7">
        <f>Tabelle25[[#This Row],[Precursor 1 
precursor: voc4cat:0007794]]</f>
        <v>0</v>
      </c>
      <c r="M36" s="7">
        <f>Tabelle25[[#This Row],[Precursor 1 
dct:identifier
SMILES, InChi or InChiKey]]</f>
        <v>0</v>
      </c>
      <c r="N36" s="7">
        <f>Tabelle25[[#This Row],[Precursor 1 amount
voc4cat:sample mass
voc4cat:0007038]]</f>
        <v>0</v>
      </c>
      <c r="O36" s="7">
        <f>Tabelle25[[#This Row],[Precursor 2 
precursor: voc4cat:0007794]]</f>
        <v>0</v>
      </c>
      <c r="P36" s="7">
        <f>Tabelle25[[#This Row],[Precursor 2 
dct:identifier
SMILES, InChi or InChiKey]]</f>
        <v>0</v>
      </c>
      <c r="Q36" s="7">
        <f>Tabelle25[[#This Row],[Precursor 2 amount
voc4cat:sample mass
voc4cat:0007038]]</f>
        <v>0</v>
      </c>
      <c r="R36" s="7">
        <f>Tabelle25[[#This Row],[Precursor 3 
precursor: voc4cat:0007794]]</f>
        <v>0</v>
      </c>
      <c r="S36" s="7">
        <f>Tabelle25[[#This Row],[Precursor 3 
dct:identifier
SMILES, InChi or InChiKey]]</f>
        <v>0</v>
      </c>
      <c r="T36" s="7">
        <f>Tabelle25[[#This Row],[Precursor 3 amount
voc4cat:sample mass
voc4cat:0007038]]</f>
        <v>0</v>
      </c>
      <c r="U36" s="7">
        <f>Tabelle25[[#This Row],[Precursor 4 
precursor: voc4cat:0007794]]</f>
        <v>0</v>
      </c>
      <c r="V36" s="7">
        <f>Tabelle25[[#This Row],[Precursor 4 
dct:identifier
SMILES, InChi or InChiKey]]</f>
        <v>0</v>
      </c>
      <c r="W36" s="7">
        <f>Tabelle25[[#This Row],[Precursor 4 amount
voc4cat:sample mass
voc4cat:0007038]]</f>
        <v>0</v>
      </c>
      <c r="X36" s="7">
        <f>Tabelle25[[#This Row],[additive
voc4cat:0007793]]</f>
        <v>0</v>
      </c>
      <c r="Y36" s="7">
        <f>Tabelle25[[#This Row],[additive
dct:identifier
SMILES, InChi or InChiKey]]</f>
        <v>0</v>
      </c>
      <c r="Z36" s="7">
        <f>Tabelle25[[#This Row],[Additive amount
voc4cat:sample mass
voc4cat:0007038]]</f>
        <v>0</v>
      </c>
      <c r="AA36" s="7">
        <f>Tabelle25[[#This Row],[Metal]]</f>
        <v>0</v>
      </c>
      <c r="AB36" s="7">
        <f>Tabelle25[[#This Row],[Metal loading, nominal (wt%)
voc4cat:0007815]]</f>
        <v>0</v>
      </c>
      <c r="AC36" s="7">
        <f>Tabelle25[[#This Row],[molar ratio metal additive]]</f>
        <v>0</v>
      </c>
      <c r="AD36" s="7">
        <f>Tabelle25[[#This Row],[molar ratio metal metal]]</f>
        <v>0</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row>
    <row r="37" spans="1:207" s="4" customFormat="1" ht="18" customHeight="1">
      <c r="A37" s="7">
        <f>Tabelle25[[#This Row],[institution
voc4cat:0007842]]</f>
        <v>0</v>
      </c>
      <c r="B37" s="7">
        <f>Tabelle25[[#This Row],[catalyst barcode  
(barcode: AFO_/result'#AFR:0002690)]]</f>
        <v>0</v>
      </c>
      <c r="C37" s="7">
        <f>Tabelle25[[#This Row],[identifier  
dct]]</f>
        <v>0</v>
      </c>
      <c r="D37" s="7">
        <f>Tabelle25[[#This Row],[catalyst
voc4cat:0007014]]</f>
        <v>0</v>
      </c>
      <c r="E37" s="7">
        <f>Tabelle25[[#This Row],[Name
dct:title]]</f>
        <v>0</v>
      </c>
      <c r="F37" s="7">
        <f>Tabelle25[[#This Row],[Preparation method
voc4cat:0007016]]</f>
        <v>0</v>
      </c>
      <c r="G37" s="7">
        <f>Tabelle25[[#This Row],[Support  
voc4cat:0007825]]</f>
        <v>0</v>
      </c>
      <c r="H37" s="7">
        <f>Tabelle25[[#This Row],[Support Barcode
(barcode: AFO_/result'#AFR:0002690)]]</f>
        <v>0</v>
      </c>
      <c r="I37" s="7">
        <f>Tabelle25[[#This Row],[Support identifier
dct]]</f>
        <v>0</v>
      </c>
      <c r="J37" s="7">
        <f>Tabelle25[[#This Row],[Support shape]]</f>
        <v>0</v>
      </c>
      <c r="K37" s="7">
        <f>Tabelle25[[#This Row],[Support Pretreatment
voc4cat:sample pretreatment voc4cat:0000123]]</f>
        <v>0</v>
      </c>
      <c r="L37" s="7">
        <f>Tabelle25[[#This Row],[Precursor 1 
precursor: voc4cat:0007794]]</f>
        <v>0</v>
      </c>
      <c r="M37" s="7">
        <f>Tabelle25[[#This Row],[Precursor 1 
dct:identifier
SMILES, InChi or InChiKey]]</f>
        <v>0</v>
      </c>
      <c r="N37" s="7">
        <f>Tabelle25[[#This Row],[Precursor 1 amount
voc4cat:sample mass
voc4cat:0007038]]</f>
        <v>0</v>
      </c>
      <c r="O37" s="7">
        <f>Tabelle25[[#This Row],[Precursor 2 
precursor: voc4cat:0007794]]</f>
        <v>0</v>
      </c>
      <c r="P37" s="7">
        <f>Tabelle25[[#This Row],[Precursor 2 
dct:identifier
SMILES, InChi or InChiKey]]</f>
        <v>0</v>
      </c>
      <c r="Q37" s="7">
        <f>Tabelle25[[#This Row],[Precursor 2 amount
voc4cat:sample mass
voc4cat:0007038]]</f>
        <v>0</v>
      </c>
      <c r="R37" s="7">
        <f>Tabelle25[[#This Row],[Precursor 3 
precursor: voc4cat:0007794]]</f>
        <v>0</v>
      </c>
      <c r="S37" s="7">
        <f>Tabelle25[[#This Row],[Precursor 3 
dct:identifier
SMILES, InChi or InChiKey]]</f>
        <v>0</v>
      </c>
      <c r="T37" s="7">
        <f>Tabelle25[[#This Row],[Precursor 3 amount
voc4cat:sample mass
voc4cat:0007038]]</f>
        <v>0</v>
      </c>
      <c r="U37" s="7">
        <f>Tabelle25[[#This Row],[Precursor 4 
precursor: voc4cat:0007794]]</f>
        <v>0</v>
      </c>
      <c r="V37" s="7">
        <f>Tabelle25[[#This Row],[Precursor 4 
dct:identifier
SMILES, InChi or InChiKey]]</f>
        <v>0</v>
      </c>
      <c r="W37" s="7">
        <f>Tabelle25[[#This Row],[Precursor 4 amount
voc4cat:sample mass
voc4cat:0007038]]</f>
        <v>0</v>
      </c>
      <c r="X37" s="7">
        <f>Tabelle25[[#This Row],[additive
voc4cat:0007793]]</f>
        <v>0</v>
      </c>
      <c r="Y37" s="7">
        <f>Tabelle25[[#This Row],[additive
dct:identifier
SMILES, InChi or InChiKey]]</f>
        <v>0</v>
      </c>
      <c r="Z37" s="7">
        <f>Tabelle25[[#This Row],[Additive amount
voc4cat:sample mass
voc4cat:0007038]]</f>
        <v>0</v>
      </c>
      <c r="AA37" s="7">
        <f>Tabelle25[[#This Row],[Metal]]</f>
        <v>0</v>
      </c>
      <c r="AB37" s="7">
        <f>Tabelle25[[#This Row],[Metal loading, nominal (wt%)
voc4cat:0007815]]</f>
        <v>0</v>
      </c>
      <c r="AC37" s="7">
        <f>Tabelle25[[#This Row],[molar ratio metal additive]]</f>
        <v>0</v>
      </c>
      <c r="AD37" s="7">
        <f>Tabelle25[[#This Row],[molar ratio metal metal]]</f>
        <v>0</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row>
    <row r="38" spans="1:207" s="4" customFormat="1" ht="18" customHeight="1">
      <c r="A38" s="7">
        <f>Tabelle25[[#This Row],[institution
voc4cat:0007842]]</f>
        <v>0</v>
      </c>
      <c r="B38" s="7">
        <f>Tabelle25[[#This Row],[catalyst barcode  
(barcode: AFO_/result'#AFR:0002690)]]</f>
        <v>0</v>
      </c>
      <c r="C38" s="7">
        <f>Tabelle25[[#This Row],[identifier  
dct]]</f>
        <v>0</v>
      </c>
      <c r="D38" s="7">
        <f>Tabelle25[[#This Row],[catalyst
voc4cat:0007014]]</f>
        <v>0</v>
      </c>
      <c r="E38" s="7">
        <f>Tabelle25[[#This Row],[Name
dct:title]]</f>
        <v>0</v>
      </c>
      <c r="F38" s="7">
        <f>Tabelle25[[#This Row],[Preparation method
voc4cat:0007016]]</f>
        <v>0</v>
      </c>
      <c r="G38" s="7">
        <f>Tabelle25[[#This Row],[Support  
voc4cat:0007825]]</f>
        <v>0</v>
      </c>
      <c r="H38" s="7">
        <f>Tabelle25[[#This Row],[Support Barcode
(barcode: AFO_/result'#AFR:0002690)]]</f>
        <v>0</v>
      </c>
      <c r="I38" s="7">
        <f>Tabelle25[[#This Row],[Support identifier
dct]]</f>
        <v>0</v>
      </c>
      <c r="J38" s="7">
        <f>Tabelle25[[#This Row],[Support shape]]</f>
        <v>0</v>
      </c>
      <c r="K38" s="7">
        <f>Tabelle25[[#This Row],[Support Pretreatment
voc4cat:sample pretreatment voc4cat:0000123]]</f>
        <v>0</v>
      </c>
      <c r="L38" s="7">
        <f>Tabelle25[[#This Row],[Precursor 1 
precursor: voc4cat:0007794]]</f>
        <v>0</v>
      </c>
      <c r="M38" s="7">
        <f>Tabelle25[[#This Row],[Precursor 1 
dct:identifier
SMILES, InChi or InChiKey]]</f>
        <v>0</v>
      </c>
      <c r="N38" s="7">
        <f>Tabelle25[[#This Row],[Precursor 1 amount
voc4cat:sample mass
voc4cat:0007038]]</f>
        <v>0</v>
      </c>
      <c r="O38" s="7">
        <f>Tabelle25[[#This Row],[Precursor 2 
precursor: voc4cat:0007794]]</f>
        <v>0</v>
      </c>
      <c r="P38" s="7">
        <f>Tabelle25[[#This Row],[Precursor 2 
dct:identifier
SMILES, InChi or InChiKey]]</f>
        <v>0</v>
      </c>
      <c r="Q38" s="7">
        <f>Tabelle25[[#This Row],[Precursor 2 amount
voc4cat:sample mass
voc4cat:0007038]]</f>
        <v>0</v>
      </c>
      <c r="R38" s="7">
        <f>Tabelle25[[#This Row],[Precursor 3 
precursor: voc4cat:0007794]]</f>
        <v>0</v>
      </c>
      <c r="S38" s="7">
        <f>Tabelle25[[#This Row],[Precursor 3 
dct:identifier
SMILES, InChi or InChiKey]]</f>
        <v>0</v>
      </c>
      <c r="T38" s="7">
        <f>Tabelle25[[#This Row],[Precursor 3 amount
voc4cat:sample mass
voc4cat:0007038]]</f>
        <v>0</v>
      </c>
      <c r="U38" s="7">
        <f>Tabelle25[[#This Row],[Precursor 4 
precursor: voc4cat:0007794]]</f>
        <v>0</v>
      </c>
      <c r="V38" s="7">
        <f>Tabelle25[[#This Row],[Precursor 4 
dct:identifier
SMILES, InChi or InChiKey]]</f>
        <v>0</v>
      </c>
      <c r="W38" s="7">
        <f>Tabelle25[[#This Row],[Precursor 4 amount
voc4cat:sample mass
voc4cat:0007038]]</f>
        <v>0</v>
      </c>
      <c r="X38" s="7">
        <f>Tabelle25[[#This Row],[additive
voc4cat:0007793]]</f>
        <v>0</v>
      </c>
      <c r="Y38" s="7">
        <f>Tabelle25[[#This Row],[additive
dct:identifier
SMILES, InChi or InChiKey]]</f>
        <v>0</v>
      </c>
      <c r="Z38" s="7">
        <f>Tabelle25[[#This Row],[Additive amount
voc4cat:sample mass
voc4cat:0007038]]</f>
        <v>0</v>
      </c>
      <c r="AA38" s="7">
        <f>Tabelle25[[#This Row],[Metal]]</f>
        <v>0</v>
      </c>
      <c r="AB38" s="7">
        <f>Tabelle25[[#This Row],[Metal loading, nominal (wt%)
voc4cat:0007815]]</f>
        <v>0</v>
      </c>
      <c r="AC38" s="7">
        <f>Tabelle25[[#This Row],[molar ratio metal additive]]</f>
        <v>0</v>
      </c>
      <c r="AD38" s="7">
        <f>Tabelle25[[#This Row],[molar ratio metal metal]]</f>
        <v>0</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row>
    <row r="39" spans="1:207" s="4" customFormat="1" ht="18" customHeight="1">
      <c r="A39" s="7">
        <f>Tabelle25[[#This Row],[institution
voc4cat:0007842]]</f>
        <v>0</v>
      </c>
      <c r="B39" s="7">
        <f>Tabelle25[[#This Row],[catalyst barcode  
(barcode: AFO_/result'#AFR:0002690)]]</f>
        <v>0</v>
      </c>
      <c r="C39" s="7">
        <f>Tabelle25[[#This Row],[identifier  
dct]]</f>
        <v>0</v>
      </c>
      <c r="D39" s="7">
        <f>Tabelle25[[#This Row],[catalyst
voc4cat:0007014]]</f>
        <v>0</v>
      </c>
      <c r="E39" s="7">
        <f>Tabelle25[[#This Row],[Name
dct:title]]</f>
        <v>0</v>
      </c>
      <c r="F39" s="7">
        <f>Tabelle25[[#This Row],[Preparation method
voc4cat:0007016]]</f>
        <v>0</v>
      </c>
      <c r="G39" s="7">
        <f>Tabelle25[[#This Row],[Support  
voc4cat:0007825]]</f>
        <v>0</v>
      </c>
      <c r="H39" s="7">
        <f>Tabelle25[[#This Row],[Support Barcode
(barcode: AFO_/result'#AFR:0002690)]]</f>
        <v>0</v>
      </c>
      <c r="I39" s="7">
        <f>Tabelle25[[#This Row],[Support identifier
dct]]</f>
        <v>0</v>
      </c>
      <c r="J39" s="7">
        <f>Tabelle25[[#This Row],[Support shape]]</f>
        <v>0</v>
      </c>
      <c r="K39" s="7">
        <f>Tabelle25[[#This Row],[Support Pretreatment
voc4cat:sample pretreatment voc4cat:0000123]]</f>
        <v>0</v>
      </c>
      <c r="L39" s="7">
        <f>Tabelle25[[#This Row],[Precursor 1 
precursor: voc4cat:0007794]]</f>
        <v>0</v>
      </c>
      <c r="M39" s="7">
        <f>Tabelle25[[#This Row],[Precursor 1 
dct:identifier
SMILES, InChi or InChiKey]]</f>
        <v>0</v>
      </c>
      <c r="N39" s="7">
        <f>Tabelle25[[#This Row],[Precursor 1 amount
voc4cat:sample mass
voc4cat:0007038]]</f>
        <v>0</v>
      </c>
      <c r="O39" s="7">
        <f>Tabelle25[[#This Row],[Precursor 2 
precursor: voc4cat:0007794]]</f>
        <v>0</v>
      </c>
      <c r="P39" s="7">
        <f>Tabelle25[[#This Row],[Precursor 2 
dct:identifier
SMILES, InChi or InChiKey]]</f>
        <v>0</v>
      </c>
      <c r="Q39" s="7">
        <f>Tabelle25[[#This Row],[Precursor 2 amount
voc4cat:sample mass
voc4cat:0007038]]</f>
        <v>0</v>
      </c>
      <c r="R39" s="7">
        <f>Tabelle25[[#This Row],[Precursor 3 
precursor: voc4cat:0007794]]</f>
        <v>0</v>
      </c>
      <c r="S39" s="7">
        <f>Tabelle25[[#This Row],[Precursor 3 
dct:identifier
SMILES, InChi or InChiKey]]</f>
        <v>0</v>
      </c>
      <c r="T39" s="7">
        <f>Tabelle25[[#This Row],[Precursor 3 amount
voc4cat:sample mass
voc4cat:0007038]]</f>
        <v>0</v>
      </c>
      <c r="U39" s="7">
        <f>Tabelle25[[#This Row],[Precursor 4 
precursor: voc4cat:0007794]]</f>
        <v>0</v>
      </c>
      <c r="V39" s="7">
        <f>Tabelle25[[#This Row],[Precursor 4 
dct:identifier
SMILES, InChi or InChiKey]]</f>
        <v>0</v>
      </c>
      <c r="W39" s="7">
        <f>Tabelle25[[#This Row],[Precursor 4 amount
voc4cat:sample mass
voc4cat:0007038]]</f>
        <v>0</v>
      </c>
      <c r="X39" s="7">
        <f>Tabelle25[[#This Row],[additive
voc4cat:0007793]]</f>
        <v>0</v>
      </c>
      <c r="Y39" s="7">
        <f>Tabelle25[[#This Row],[additive
dct:identifier
SMILES, InChi or InChiKey]]</f>
        <v>0</v>
      </c>
      <c r="Z39" s="7">
        <f>Tabelle25[[#This Row],[Additive amount
voc4cat:sample mass
voc4cat:0007038]]</f>
        <v>0</v>
      </c>
      <c r="AA39" s="7">
        <f>Tabelle25[[#This Row],[Metal]]</f>
        <v>0</v>
      </c>
      <c r="AB39" s="7">
        <f>Tabelle25[[#This Row],[Metal loading, nominal (wt%)
voc4cat:0007815]]</f>
        <v>0</v>
      </c>
      <c r="AC39" s="7">
        <f>Tabelle25[[#This Row],[molar ratio metal additive]]</f>
        <v>0</v>
      </c>
      <c r="AD39" s="7">
        <f>Tabelle25[[#This Row],[molar ratio metal metal]]</f>
        <v>0</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row>
    <row r="40" spans="1:207" s="4" customFormat="1" ht="18" customHeight="1">
      <c r="A40" s="7">
        <f>Tabelle25[[#This Row],[institution
voc4cat:0007842]]</f>
        <v>0</v>
      </c>
      <c r="B40" s="7">
        <f>Tabelle25[[#This Row],[catalyst barcode  
(barcode: AFO_/result'#AFR:0002690)]]</f>
        <v>0</v>
      </c>
      <c r="C40" s="7">
        <f>Tabelle25[[#This Row],[identifier  
dct]]</f>
        <v>0</v>
      </c>
      <c r="D40" s="7">
        <f>Tabelle25[[#This Row],[catalyst
voc4cat:0007014]]</f>
        <v>0</v>
      </c>
      <c r="E40" s="7">
        <f>Tabelle25[[#This Row],[Name
dct:title]]</f>
        <v>0</v>
      </c>
      <c r="F40" s="7">
        <f>Tabelle25[[#This Row],[Preparation method
voc4cat:0007016]]</f>
        <v>0</v>
      </c>
      <c r="G40" s="7">
        <f>Tabelle25[[#This Row],[Support  
voc4cat:0007825]]</f>
        <v>0</v>
      </c>
      <c r="H40" s="7">
        <f>Tabelle25[[#This Row],[Support Barcode
(barcode: AFO_/result'#AFR:0002690)]]</f>
        <v>0</v>
      </c>
      <c r="I40" s="7">
        <f>Tabelle25[[#This Row],[Support identifier
dct]]</f>
        <v>0</v>
      </c>
      <c r="J40" s="7">
        <f>Tabelle25[[#This Row],[Support shape]]</f>
        <v>0</v>
      </c>
      <c r="K40" s="7">
        <f>Tabelle25[[#This Row],[Support Pretreatment
voc4cat:sample pretreatment voc4cat:0000123]]</f>
        <v>0</v>
      </c>
      <c r="L40" s="7">
        <f>Tabelle25[[#This Row],[Precursor 1 
precursor: voc4cat:0007794]]</f>
        <v>0</v>
      </c>
      <c r="M40" s="7">
        <f>Tabelle25[[#This Row],[Precursor 1 
dct:identifier
SMILES, InChi or InChiKey]]</f>
        <v>0</v>
      </c>
      <c r="N40" s="7">
        <f>Tabelle25[[#This Row],[Precursor 1 amount
voc4cat:sample mass
voc4cat:0007038]]</f>
        <v>0</v>
      </c>
      <c r="O40" s="7">
        <f>Tabelle25[[#This Row],[Precursor 2 
precursor: voc4cat:0007794]]</f>
        <v>0</v>
      </c>
      <c r="P40" s="7">
        <f>Tabelle25[[#This Row],[Precursor 2 
dct:identifier
SMILES, InChi or InChiKey]]</f>
        <v>0</v>
      </c>
      <c r="Q40" s="7">
        <f>Tabelle25[[#This Row],[Precursor 2 amount
voc4cat:sample mass
voc4cat:0007038]]</f>
        <v>0</v>
      </c>
      <c r="R40" s="7">
        <f>Tabelle25[[#This Row],[Precursor 3 
precursor: voc4cat:0007794]]</f>
        <v>0</v>
      </c>
      <c r="S40" s="7">
        <f>Tabelle25[[#This Row],[Precursor 3 
dct:identifier
SMILES, InChi or InChiKey]]</f>
        <v>0</v>
      </c>
      <c r="T40" s="7">
        <f>Tabelle25[[#This Row],[Precursor 3 amount
voc4cat:sample mass
voc4cat:0007038]]</f>
        <v>0</v>
      </c>
      <c r="U40" s="7">
        <f>Tabelle25[[#This Row],[Precursor 4 
precursor: voc4cat:0007794]]</f>
        <v>0</v>
      </c>
      <c r="V40" s="7">
        <f>Tabelle25[[#This Row],[Precursor 4 
dct:identifier
SMILES, InChi or InChiKey]]</f>
        <v>0</v>
      </c>
      <c r="W40" s="7">
        <f>Tabelle25[[#This Row],[Precursor 4 amount
voc4cat:sample mass
voc4cat:0007038]]</f>
        <v>0</v>
      </c>
      <c r="X40" s="7">
        <f>Tabelle25[[#This Row],[additive
voc4cat:0007793]]</f>
        <v>0</v>
      </c>
      <c r="Y40" s="7">
        <f>Tabelle25[[#This Row],[additive
dct:identifier
SMILES, InChi or InChiKey]]</f>
        <v>0</v>
      </c>
      <c r="Z40" s="7">
        <f>Tabelle25[[#This Row],[Additive amount
voc4cat:sample mass
voc4cat:0007038]]</f>
        <v>0</v>
      </c>
      <c r="AA40" s="7">
        <f>Tabelle25[[#This Row],[Metal]]</f>
        <v>0</v>
      </c>
      <c r="AB40" s="7">
        <f>Tabelle25[[#This Row],[Metal loading, nominal (wt%)
voc4cat:0007815]]</f>
        <v>0</v>
      </c>
      <c r="AC40" s="7">
        <f>Tabelle25[[#This Row],[molar ratio metal additive]]</f>
        <v>0</v>
      </c>
      <c r="AD40" s="7">
        <f>Tabelle25[[#This Row],[molar ratio metal metal]]</f>
        <v>0</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row>
    <row r="41" spans="1:207" s="4" customFormat="1" ht="18" customHeight="1">
      <c r="A41" s="7">
        <f>Tabelle25[[#This Row],[institution
voc4cat:0007842]]</f>
        <v>0</v>
      </c>
      <c r="B41" s="7">
        <f>Tabelle25[[#This Row],[catalyst barcode  
(barcode: AFO_/result'#AFR:0002690)]]</f>
        <v>0</v>
      </c>
      <c r="C41" s="7">
        <f>Tabelle25[[#This Row],[identifier  
dct]]</f>
        <v>0</v>
      </c>
      <c r="D41" s="7">
        <f>Tabelle25[[#This Row],[catalyst
voc4cat:0007014]]</f>
        <v>0</v>
      </c>
      <c r="E41" s="7">
        <f>Tabelle25[[#This Row],[Name
dct:title]]</f>
        <v>0</v>
      </c>
      <c r="F41" s="7">
        <f>Tabelle25[[#This Row],[Preparation method
voc4cat:0007016]]</f>
        <v>0</v>
      </c>
      <c r="G41" s="7">
        <f>Tabelle25[[#This Row],[Support  
voc4cat:0007825]]</f>
        <v>0</v>
      </c>
      <c r="H41" s="7">
        <f>Tabelle25[[#This Row],[Support Barcode
(barcode: AFO_/result'#AFR:0002690)]]</f>
        <v>0</v>
      </c>
      <c r="I41" s="7">
        <f>Tabelle25[[#This Row],[Support identifier
dct]]</f>
        <v>0</v>
      </c>
      <c r="J41" s="7">
        <f>Tabelle25[[#This Row],[Support shape]]</f>
        <v>0</v>
      </c>
      <c r="K41" s="7">
        <f>Tabelle25[[#This Row],[Support Pretreatment
voc4cat:sample pretreatment voc4cat:0000123]]</f>
        <v>0</v>
      </c>
      <c r="L41" s="7">
        <f>Tabelle25[[#This Row],[Precursor 1 
precursor: voc4cat:0007794]]</f>
        <v>0</v>
      </c>
      <c r="M41" s="7">
        <f>Tabelle25[[#This Row],[Precursor 1 
dct:identifier
SMILES, InChi or InChiKey]]</f>
        <v>0</v>
      </c>
      <c r="N41" s="7">
        <f>Tabelle25[[#This Row],[Precursor 1 amount
voc4cat:sample mass
voc4cat:0007038]]</f>
        <v>0</v>
      </c>
      <c r="O41" s="7">
        <f>Tabelle25[[#This Row],[Precursor 2 
precursor: voc4cat:0007794]]</f>
        <v>0</v>
      </c>
      <c r="P41" s="7">
        <f>Tabelle25[[#This Row],[Precursor 2 
dct:identifier
SMILES, InChi or InChiKey]]</f>
        <v>0</v>
      </c>
      <c r="Q41" s="7">
        <f>Tabelle25[[#This Row],[Precursor 2 amount
voc4cat:sample mass
voc4cat:0007038]]</f>
        <v>0</v>
      </c>
      <c r="R41" s="7">
        <f>Tabelle25[[#This Row],[Precursor 3 
precursor: voc4cat:0007794]]</f>
        <v>0</v>
      </c>
      <c r="S41" s="7">
        <f>Tabelle25[[#This Row],[Precursor 3 
dct:identifier
SMILES, InChi or InChiKey]]</f>
        <v>0</v>
      </c>
      <c r="T41" s="7">
        <f>Tabelle25[[#This Row],[Precursor 3 amount
voc4cat:sample mass
voc4cat:0007038]]</f>
        <v>0</v>
      </c>
      <c r="U41" s="7">
        <f>Tabelle25[[#This Row],[Precursor 4 
precursor: voc4cat:0007794]]</f>
        <v>0</v>
      </c>
      <c r="V41" s="7">
        <f>Tabelle25[[#This Row],[Precursor 4 
dct:identifier
SMILES, InChi or InChiKey]]</f>
        <v>0</v>
      </c>
      <c r="W41" s="7">
        <f>Tabelle25[[#This Row],[Precursor 4 amount
voc4cat:sample mass
voc4cat:0007038]]</f>
        <v>0</v>
      </c>
      <c r="X41" s="7">
        <f>Tabelle25[[#This Row],[additive
voc4cat:0007793]]</f>
        <v>0</v>
      </c>
      <c r="Y41" s="7">
        <f>Tabelle25[[#This Row],[additive
dct:identifier
SMILES, InChi or InChiKey]]</f>
        <v>0</v>
      </c>
      <c r="Z41" s="7">
        <f>Tabelle25[[#This Row],[Additive amount
voc4cat:sample mass
voc4cat:0007038]]</f>
        <v>0</v>
      </c>
      <c r="AA41" s="7">
        <f>Tabelle25[[#This Row],[Metal]]</f>
        <v>0</v>
      </c>
      <c r="AB41" s="7">
        <f>Tabelle25[[#This Row],[Metal loading, nominal (wt%)
voc4cat:0007815]]</f>
        <v>0</v>
      </c>
      <c r="AC41" s="7">
        <f>Tabelle25[[#This Row],[molar ratio metal additive]]</f>
        <v>0</v>
      </c>
      <c r="AD41" s="7">
        <f>Tabelle25[[#This Row],[molar ratio metal metal]]</f>
        <v>0</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row>
    <row r="42" spans="1:207" s="4" customFormat="1" ht="18" customHeight="1">
      <c r="A42" s="7">
        <f>Tabelle25[[#This Row],[institution
voc4cat:0007842]]</f>
        <v>0</v>
      </c>
      <c r="B42" s="7">
        <f>Tabelle25[[#This Row],[catalyst barcode  
(barcode: AFO_/result'#AFR:0002690)]]</f>
        <v>0</v>
      </c>
      <c r="C42" s="7">
        <f>Tabelle25[[#This Row],[identifier  
dct]]</f>
        <v>0</v>
      </c>
      <c r="D42" s="7">
        <f>Tabelle25[[#This Row],[catalyst
voc4cat:0007014]]</f>
        <v>0</v>
      </c>
      <c r="E42" s="7">
        <f>Tabelle25[[#This Row],[Name
dct:title]]</f>
        <v>0</v>
      </c>
      <c r="F42" s="7">
        <f>Tabelle25[[#This Row],[Preparation method
voc4cat:0007016]]</f>
        <v>0</v>
      </c>
      <c r="G42" s="7">
        <f>Tabelle25[[#This Row],[Support  
voc4cat:0007825]]</f>
        <v>0</v>
      </c>
      <c r="H42" s="7">
        <f>Tabelle25[[#This Row],[Support Barcode
(barcode: AFO_/result'#AFR:0002690)]]</f>
        <v>0</v>
      </c>
      <c r="I42" s="7">
        <f>Tabelle25[[#This Row],[Support identifier
dct]]</f>
        <v>0</v>
      </c>
      <c r="J42" s="7">
        <f>Tabelle25[[#This Row],[Support shape]]</f>
        <v>0</v>
      </c>
      <c r="K42" s="7">
        <f>Tabelle25[[#This Row],[Support Pretreatment
voc4cat:sample pretreatment voc4cat:0000123]]</f>
        <v>0</v>
      </c>
      <c r="L42" s="7">
        <f>Tabelle25[[#This Row],[Precursor 1 
precursor: voc4cat:0007794]]</f>
        <v>0</v>
      </c>
      <c r="M42" s="7">
        <f>Tabelle25[[#This Row],[Precursor 1 
dct:identifier
SMILES, InChi or InChiKey]]</f>
        <v>0</v>
      </c>
      <c r="N42" s="7">
        <f>Tabelle25[[#This Row],[Precursor 1 amount
voc4cat:sample mass
voc4cat:0007038]]</f>
        <v>0</v>
      </c>
      <c r="O42" s="7">
        <f>Tabelle25[[#This Row],[Precursor 2 
precursor: voc4cat:0007794]]</f>
        <v>0</v>
      </c>
      <c r="P42" s="7">
        <f>Tabelle25[[#This Row],[Precursor 2 
dct:identifier
SMILES, InChi or InChiKey]]</f>
        <v>0</v>
      </c>
      <c r="Q42" s="7">
        <f>Tabelle25[[#This Row],[Precursor 2 amount
voc4cat:sample mass
voc4cat:0007038]]</f>
        <v>0</v>
      </c>
      <c r="R42" s="7">
        <f>Tabelle25[[#This Row],[Precursor 3 
precursor: voc4cat:0007794]]</f>
        <v>0</v>
      </c>
      <c r="S42" s="7">
        <f>Tabelle25[[#This Row],[Precursor 3 
dct:identifier
SMILES, InChi or InChiKey]]</f>
        <v>0</v>
      </c>
      <c r="T42" s="7">
        <f>Tabelle25[[#This Row],[Precursor 3 amount
voc4cat:sample mass
voc4cat:0007038]]</f>
        <v>0</v>
      </c>
      <c r="U42" s="7">
        <f>Tabelle25[[#This Row],[Precursor 4 
precursor: voc4cat:0007794]]</f>
        <v>0</v>
      </c>
      <c r="V42" s="7">
        <f>Tabelle25[[#This Row],[Precursor 4 
dct:identifier
SMILES, InChi or InChiKey]]</f>
        <v>0</v>
      </c>
      <c r="W42" s="7">
        <f>Tabelle25[[#This Row],[Precursor 4 amount
voc4cat:sample mass
voc4cat:0007038]]</f>
        <v>0</v>
      </c>
      <c r="X42" s="7">
        <f>Tabelle25[[#This Row],[additive
voc4cat:0007793]]</f>
        <v>0</v>
      </c>
      <c r="Y42" s="7">
        <f>Tabelle25[[#This Row],[additive
dct:identifier
SMILES, InChi or InChiKey]]</f>
        <v>0</v>
      </c>
      <c r="Z42" s="7">
        <f>Tabelle25[[#This Row],[Additive amount
voc4cat:sample mass
voc4cat:0007038]]</f>
        <v>0</v>
      </c>
      <c r="AA42" s="7">
        <f>Tabelle25[[#This Row],[Metal]]</f>
        <v>0</v>
      </c>
      <c r="AB42" s="7">
        <f>Tabelle25[[#This Row],[Metal loading, nominal (wt%)
voc4cat:0007815]]</f>
        <v>0</v>
      </c>
      <c r="AC42" s="7">
        <f>Tabelle25[[#This Row],[molar ratio metal additive]]</f>
        <v>0</v>
      </c>
      <c r="AD42" s="7">
        <f>Tabelle25[[#This Row],[molar ratio metal metal]]</f>
        <v>0</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row>
    <row r="43" spans="1:207" s="4" customFormat="1" ht="18" customHeight="1">
      <c r="A43" s="7">
        <f>Tabelle25[[#This Row],[institution
voc4cat:0007842]]</f>
        <v>0</v>
      </c>
      <c r="B43" s="7">
        <f>Tabelle25[[#This Row],[catalyst barcode  
(barcode: AFO_/result'#AFR:0002690)]]</f>
        <v>0</v>
      </c>
      <c r="C43" s="7">
        <f>Tabelle25[[#This Row],[identifier  
dct]]</f>
        <v>0</v>
      </c>
      <c r="D43" s="7">
        <f>Tabelle25[[#This Row],[catalyst
voc4cat:0007014]]</f>
        <v>0</v>
      </c>
      <c r="E43" s="7">
        <f>Tabelle25[[#This Row],[Name
dct:title]]</f>
        <v>0</v>
      </c>
      <c r="F43" s="7">
        <f>Tabelle25[[#This Row],[Preparation method
voc4cat:0007016]]</f>
        <v>0</v>
      </c>
      <c r="G43" s="7">
        <f>Tabelle25[[#This Row],[Support  
voc4cat:0007825]]</f>
        <v>0</v>
      </c>
      <c r="H43" s="7">
        <f>Tabelle25[[#This Row],[Support Barcode
(barcode: AFO_/result'#AFR:0002690)]]</f>
        <v>0</v>
      </c>
      <c r="I43" s="7">
        <f>Tabelle25[[#This Row],[Support identifier
dct]]</f>
        <v>0</v>
      </c>
      <c r="J43" s="7">
        <f>Tabelle25[[#This Row],[Support shape]]</f>
        <v>0</v>
      </c>
      <c r="K43" s="7">
        <f>Tabelle25[[#This Row],[Support Pretreatment
voc4cat:sample pretreatment voc4cat:0000123]]</f>
        <v>0</v>
      </c>
      <c r="L43" s="7">
        <f>Tabelle25[[#This Row],[Precursor 1 
precursor: voc4cat:0007794]]</f>
        <v>0</v>
      </c>
      <c r="M43" s="7">
        <f>Tabelle25[[#This Row],[Precursor 1 
dct:identifier
SMILES, InChi or InChiKey]]</f>
        <v>0</v>
      </c>
      <c r="N43" s="7">
        <f>Tabelle25[[#This Row],[Precursor 1 amount
voc4cat:sample mass
voc4cat:0007038]]</f>
        <v>0</v>
      </c>
      <c r="O43" s="7">
        <f>Tabelle25[[#This Row],[Precursor 2 
precursor: voc4cat:0007794]]</f>
        <v>0</v>
      </c>
      <c r="P43" s="7">
        <f>Tabelle25[[#This Row],[Precursor 2 
dct:identifier
SMILES, InChi or InChiKey]]</f>
        <v>0</v>
      </c>
      <c r="Q43" s="7">
        <f>Tabelle25[[#This Row],[Precursor 2 amount
voc4cat:sample mass
voc4cat:0007038]]</f>
        <v>0</v>
      </c>
      <c r="R43" s="7">
        <f>Tabelle25[[#This Row],[Precursor 3 
precursor: voc4cat:0007794]]</f>
        <v>0</v>
      </c>
      <c r="S43" s="7">
        <f>Tabelle25[[#This Row],[Precursor 3 
dct:identifier
SMILES, InChi or InChiKey]]</f>
        <v>0</v>
      </c>
      <c r="T43" s="7">
        <f>Tabelle25[[#This Row],[Precursor 3 amount
voc4cat:sample mass
voc4cat:0007038]]</f>
        <v>0</v>
      </c>
      <c r="U43" s="7">
        <f>Tabelle25[[#This Row],[Precursor 4 
precursor: voc4cat:0007794]]</f>
        <v>0</v>
      </c>
      <c r="V43" s="7">
        <f>Tabelle25[[#This Row],[Precursor 4 
dct:identifier
SMILES, InChi or InChiKey]]</f>
        <v>0</v>
      </c>
      <c r="W43" s="7">
        <f>Tabelle25[[#This Row],[Precursor 4 amount
voc4cat:sample mass
voc4cat:0007038]]</f>
        <v>0</v>
      </c>
      <c r="X43" s="7">
        <f>Tabelle25[[#This Row],[additive
voc4cat:0007793]]</f>
        <v>0</v>
      </c>
      <c r="Y43" s="7">
        <f>Tabelle25[[#This Row],[additive
dct:identifier
SMILES, InChi or InChiKey]]</f>
        <v>0</v>
      </c>
      <c r="Z43" s="7">
        <f>Tabelle25[[#This Row],[Additive amount
voc4cat:sample mass
voc4cat:0007038]]</f>
        <v>0</v>
      </c>
      <c r="AA43" s="7">
        <f>Tabelle25[[#This Row],[Metal]]</f>
        <v>0</v>
      </c>
      <c r="AB43" s="7">
        <f>Tabelle25[[#This Row],[Metal loading, nominal (wt%)
voc4cat:0007815]]</f>
        <v>0</v>
      </c>
      <c r="AC43" s="7">
        <f>Tabelle25[[#This Row],[molar ratio metal additive]]</f>
        <v>0</v>
      </c>
      <c r="AD43" s="7">
        <f>Tabelle25[[#This Row],[molar ratio metal metal]]</f>
        <v>0</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row>
    <row r="44" spans="1:207" s="4" customFormat="1" ht="18" customHeight="1">
      <c r="A44" s="7">
        <f>Tabelle25[[#This Row],[institution
voc4cat:0007842]]</f>
        <v>0</v>
      </c>
      <c r="B44" s="7">
        <f>Tabelle25[[#This Row],[catalyst barcode  
(barcode: AFO_/result'#AFR:0002690)]]</f>
        <v>0</v>
      </c>
      <c r="C44" s="7">
        <f>Tabelle25[[#This Row],[identifier  
dct]]</f>
        <v>0</v>
      </c>
      <c r="D44" s="7">
        <f>Tabelle25[[#This Row],[catalyst
voc4cat:0007014]]</f>
        <v>0</v>
      </c>
      <c r="E44" s="7">
        <f>Tabelle25[[#This Row],[Name
dct:title]]</f>
        <v>0</v>
      </c>
      <c r="F44" s="7">
        <f>Tabelle25[[#This Row],[Preparation method
voc4cat:0007016]]</f>
        <v>0</v>
      </c>
      <c r="G44" s="7">
        <f>Tabelle25[[#This Row],[Support  
voc4cat:0007825]]</f>
        <v>0</v>
      </c>
      <c r="H44" s="7">
        <f>Tabelle25[[#This Row],[Support Barcode
(barcode: AFO_/result'#AFR:0002690)]]</f>
        <v>0</v>
      </c>
      <c r="I44" s="7">
        <f>Tabelle25[[#This Row],[Support identifier
dct]]</f>
        <v>0</v>
      </c>
      <c r="J44" s="7">
        <f>Tabelle25[[#This Row],[Support shape]]</f>
        <v>0</v>
      </c>
      <c r="K44" s="7">
        <f>Tabelle25[[#This Row],[Support Pretreatment
voc4cat:sample pretreatment voc4cat:0000123]]</f>
        <v>0</v>
      </c>
      <c r="L44" s="7">
        <f>Tabelle25[[#This Row],[Precursor 1 
precursor: voc4cat:0007794]]</f>
        <v>0</v>
      </c>
      <c r="M44" s="7">
        <f>Tabelle25[[#This Row],[Precursor 1 
dct:identifier
SMILES, InChi or InChiKey]]</f>
        <v>0</v>
      </c>
      <c r="N44" s="7">
        <f>Tabelle25[[#This Row],[Precursor 1 amount
voc4cat:sample mass
voc4cat:0007038]]</f>
        <v>0</v>
      </c>
      <c r="O44" s="7">
        <f>Tabelle25[[#This Row],[Precursor 2 
precursor: voc4cat:0007794]]</f>
        <v>0</v>
      </c>
      <c r="P44" s="7">
        <f>Tabelle25[[#This Row],[Precursor 2 
dct:identifier
SMILES, InChi or InChiKey]]</f>
        <v>0</v>
      </c>
      <c r="Q44" s="7">
        <f>Tabelle25[[#This Row],[Precursor 2 amount
voc4cat:sample mass
voc4cat:0007038]]</f>
        <v>0</v>
      </c>
      <c r="R44" s="7">
        <f>Tabelle25[[#This Row],[Precursor 3 
precursor: voc4cat:0007794]]</f>
        <v>0</v>
      </c>
      <c r="S44" s="7">
        <f>Tabelle25[[#This Row],[Precursor 3 
dct:identifier
SMILES, InChi or InChiKey]]</f>
        <v>0</v>
      </c>
      <c r="T44" s="7">
        <f>Tabelle25[[#This Row],[Precursor 3 amount
voc4cat:sample mass
voc4cat:0007038]]</f>
        <v>0</v>
      </c>
      <c r="U44" s="7">
        <f>Tabelle25[[#This Row],[Precursor 4 
precursor: voc4cat:0007794]]</f>
        <v>0</v>
      </c>
      <c r="V44" s="7">
        <f>Tabelle25[[#This Row],[Precursor 4 
dct:identifier
SMILES, InChi or InChiKey]]</f>
        <v>0</v>
      </c>
      <c r="W44" s="7">
        <f>Tabelle25[[#This Row],[Precursor 4 amount
voc4cat:sample mass
voc4cat:0007038]]</f>
        <v>0</v>
      </c>
      <c r="X44" s="7">
        <f>Tabelle25[[#This Row],[additive
voc4cat:0007793]]</f>
        <v>0</v>
      </c>
      <c r="Y44" s="7">
        <f>Tabelle25[[#This Row],[additive
dct:identifier
SMILES, InChi or InChiKey]]</f>
        <v>0</v>
      </c>
      <c r="Z44" s="7">
        <f>Tabelle25[[#This Row],[Additive amount
voc4cat:sample mass
voc4cat:0007038]]</f>
        <v>0</v>
      </c>
      <c r="AA44" s="7">
        <f>Tabelle25[[#This Row],[Metal]]</f>
        <v>0</v>
      </c>
      <c r="AB44" s="7">
        <f>Tabelle25[[#This Row],[Metal loading, nominal (wt%)
voc4cat:0007815]]</f>
        <v>0</v>
      </c>
      <c r="AC44" s="7">
        <f>Tabelle25[[#This Row],[molar ratio metal additive]]</f>
        <v>0</v>
      </c>
      <c r="AD44" s="7">
        <f>Tabelle25[[#This Row],[molar ratio metal metal]]</f>
        <v>0</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row>
    <row r="45" spans="1:207" s="4" customFormat="1" ht="18" customHeight="1">
      <c r="A45" s="7">
        <f>Tabelle25[[#This Row],[institution
voc4cat:0007842]]</f>
        <v>0</v>
      </c>
      <c r="B45" s="7">
        <f>Tabelle25[[#This Row],[catalyst barcode  
(barcode: AFO_/result'#AFR:0002690)]]</f>
        <v>0</v>
      </c>
      <c r="C45" s="7">
        <f>Tabelle25[[#This Row],[identifier  
dct]]</f>
        <v>0</v>
      </c>
      <c r="D45" s="7">
        <f>Tabelle25[[#This Row],[catalyst
voc4cat:0007014]]</f>
        <v>0</v>
      </c>
      <c r="E45" s="7">
        <f>Tabelle25[[#This Row],[Name
dct:title]]</f>
        <v>0</v>
      </c>
      <c r="F45" s="7">
        <f>Tabelle25[[#This Row],[Preparation method
voc4cat:0007016]]</f>
        <v>0</v>
      </c>
      <c r="G45" s="7">
        <f>Tabelle25[[#This Row],[Support  
voc4cat:0007825]]</f>
        <v>0</v>
      </c>
      <c r="H45" s="7">
        <f>Tabelle25[[#This Row],[Support Barcode
(barcode: AFO_/result'#AFR:0002690)]]</f>
        <v>0</v>
      </c>
      <c r="I45" s="7">
        <f>Tabelle25[[#This Row],[Support identifier
dct]]</f>
        <v>0</v>
      </c>
      <c r="J45" s="7">
        <f>Tabelle25[[#This Row],[Support shape]]</f>
        <v>0</v>
      </c>
      <c r="K45" s="7">
        <f>Tabelle25[[#This Row],[Support Pretreatment
voc4cat:sample pretreatment voc4cat:0000123]]</f>
        <v>0</v>
      </c>
      <c r="L45" s="7">
        <f>Tabelle25[[#This Row],[Precursor 1 
precursor: voc4cat:0007794]]</f>
        <v>0</v>
      </c>
      <c r="M45" s="7">
        <f>Tabelle25[[#This Row],[Precursor 1 
dct:identifier
SMILES, InChi or InChiKey]]</f>
        <v>0</v>
      </c>
      <c r="N45" s="7">
        <f>Tabelle25[[#This Row],[Precursor 1 amount
voc4cat:sample mass
voc4cat:0007038]]</f>
        <v>0</v>
      </c>
      <c r="O45" s="7">
        <f>Tabelle25[[#This Row],[Precursor 2 
precursor: voc4cat:0007794]]</f>
        <v>0</v>
      </c>
      <c r="P45" s="7">
        <f>Tabelle25[[#This Row],[Precursor 2 
dct:identifier
SMILES, InChi or InChiKey]]</f>
        <v>0</v>
      </c>
      <c r="Q45" s="7">
        <f>Tabelle25[[#This Row],[Precursor 2 amount
voc4cat:sample mass
voc4cat:0007038]]</f>
        <v>0</v>
      </c>
      <c r="R45" s="7">
        <f>Tabelle25[[#This Row],[Precursor 3 
precursor: voc4cat:0007794]]</f>
        <v>0</v>
      </c>
      <c r="S45" s="7">
        <f>Tabelle25[[#This Row],[Precursor 3 
dct:identifier
SMILES, InChi or InChiKey]]</f>
        <v>0</v>
      </c>
      <c r="T45" s="7">
        <f>Tabelle25[[#This Row],[Precursor 3 amount
voc4cat:sample mass
voc4cat:0007038]]</f>
        <v>0</v>
      </c>
      <c r="U45" s="7">
        <f>Tabelle25[[#This Row],[Precursor 4 
precursor: voc4cat:0007794]]</f>
        <v>0</v>
      </c>
      <c r="V45" s="7">
        <f>Tabelle25[[#This Row],[Precursor 4 
dct:identifier
SMILES, InChi or InChiKey]]</f>
        <v>0</v>
      </c>
      <c r="W45" s="7">
        <f>Tabelle25[[#This Row],[Precursor 4 amount
voc4cat:sample mass
voc4cat:0007038]]</f>
        <v>0</v>
      </c>
      <c r="X45" s="7">
        <f>Tabelle25[[#This Row],[additive
voc4cat:0007793]]</f>
        <v>0</v>
      </c>
      <c r="Y45" s="7">
        <f>Tabelle25[[#This Row],[additive
dct:identifier
SMILES, InChi or InChiKey]]</f>
        <v>0</v>
      </c>
      <c r="Z45" s="7">
        <f>Tabelle25[[#This Row],[Additive amount
voc4cat:sample mass
voc4cat:0007038]]</f>
        <v>0</v>
      </c>
      <c r="AA45" s="7">
        <f>Tabelle25[[#This Row],[Metal]]</f>
        <v>0</v>
      </c>
      <c r="AB45" s="7">
        <f>Tabelle25[[#This Row],[Metal loading, nominal (wt%)
voc4cat:0007815]]</f>
        <v>0</v>
      </c>
      <c r="AC45" s="7">
        <f>Tabelle25[[#This Row],[molar ratio metal additive]]</f>
        <v>0</v>
      </c>
      <c r="AD45" s="7">
        <f>Tabelle25[[#This Row],[molar ratio metal metal]]</f>
        <v>0</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row>
    <row r="46" spans="1:207" s="4" customFormat="1" ht="18" customHeight="1">
      <c r="A46" s="7">
        <f>Tabelle25[[#This Row],[institution
voc4cat:0007842]]</f>
        <v>0</v>
      </c>
      <c r="B46" s="7">
        <f>Tabelle25[[#This Row],[catalyst barcode  
(barcode: AFO_/result'#AFR:0002690)]]</f>
        <v>0</v>
      </c>
      <c r="C46" s="7">
        <f>Tabelle25[[#This Row],[identifier  
dct]]</f>
        <v>0</v>
      </c>
      <c r="D46" s="7">
        <f>Tabelle25[[#This Row],[catalyst
voc4cat:0007014]]</f>
        <v>0</v>
      </c>
      <c r="E46" s="7">
        <f>Tabelle25[[#This Row],[Name
dct:title]]</f>
        <v>0</v>
      </c>
      <c r="F46" s="7">
        <f>Tabelle25[[#This Row],[Preparation method
voc4cat:0007016]]</f>
        <v>0</v>
      </c>
      <c r="G46" s="7">
        <f>Tabelle25[[#This Row],[Support  
voc4cat:0007825]]</f>
        <v>0</v>
      </c>
      <c r="H46" s="7">
        <f>Tabelle25[[#This Row],[Support Barcode
(barcode: AFO_/result'#AFR:0002690)]]</f>
        <v>0</v>
      </c>
      <c r="I46" s="7">
        <f>Tabelle25[[#This Row],[Support identifier
dct]]</f>
        <v>0</v>
      </c>
      <c r="J46" s="7">
        <f>Tabelle25[[#This Row],[Support shape]]</f>
        <v>0</v>
      </c>
      <c r="K46" s="7">
        <f>Tabelle25[[#This Row],[Support Pretreatment
voc4cat:sample pretreatment voc4cat:0000123]]</f>
        <v>0</v>
      </c>
      <c r="L46" s="7">
        <f>Tabelle25[[#This Row],[Precursor 1 
precursor: voc4cat:0007794]]</f>
        <v>0</v>
      </c>
      <c r="M46" s="7">
        <f>Tabelle25[[#This Row],[Precursor 1 
dct:identifier
SMILES, InChi or InChiKey]]</f>
        <v>0</v>
      </c>
      <c r="N46" s="7">
        <f>Tabelle25[[#This Row],[Precursor 1 amount
voc4cat:sample mass
voc4cat:0007038]]</f>
        <v>0</v>
      </c>
      <c r="O46" s="7">
        <f>Tabelle25[[#This Row],[Precursor 2 
precursor: voc4cat:0007794]]</f>
        <v>0</v>
      </c>
      <c r="P46" s="7">
        <f>Tabelle25[[#This Row],[Precursor 2 
dct:identifier
SMILES, InChi or InChiKey]]</f>
        <v>0</v>
      </c>
      <c r="Q46" s="7">
        <f>Tabelle25[[#This Row],[Precursor 2 amount
voc4cat:sample mass
voc4cat:0007038]]</f>
        <v>0</v>
      </c>
      <c r="R46" s="7">
        <f>Tabelle25[[#This Row],[Precursor 3 
precursor: voc4cat:0007794]]</f>
        <v>0</v>
      </c>
      <c r="S46" s="7">
        <f>Tabelle25[[#This Row],[Precursor 3 
dct:identifier
SMILES, InChi or InChiKey]]</f>
        <v>0</v>
      </c>
      <c r="T46" s="7">
        <f>Tabelle25[[#This Row],[Precursor 3 amount
voc4cat:sample mass
voc4cat:0007038]]</f>
        <v>0</v>
      </c>
      <c r="U46" s="7">
        <f>Tabelle25[[#This Row],[Precursor 4 
precursor: voc4cat:0007794]]</f>
        <v>0</v>
      </c>
      <c r="V46" s="7">
        <f>Tabelle25[[#This Row],[Precursor 4 
dct:identifier
SMILES, InChi or InChiKey]]</f>
        <v>0</v>
      </c>
      <c r="W46" s="7">
        <f>Tabelle25[[#This Row],[Precursor 4 amount
voc4cat:sample mass
voc4cat:0007038]]</f>
        <v>0</v>
      </c>
      <c r="X46" s="7">
        <f>Tabelle25[[#This Row],[additive
voc4cat:0007793]]</f>
        <v>0</v>
      </c>
      <c r="Y46" s="7">
        <f>Tabelle25[[#This Row],[additive
dct:identifier
SMILES, InChi or InChiKey]]</f>
        <v>0</v>
      </c>
      <c r="Z46" s="7">
        <f>Tabelle25[[#This Row],[Additive amount
voc4cat:sample mass
voc4cat:0007038]]</f>
        <v>0</v>
      </c>
      <c r="AA46" s="7">
        <f>Tabelle25[[#This Row],[Metal]]</f>
        <v>0</v>
      </c>
      <c r="AB46" s="7">
        <f>Tabelle25[[#This Row],[Metal loading, nominal (wt%)
voc4cat:0007815]]</f>
        <v>0</v>
      </c>
      <c r="AC46" s="7">
        <f>Tabelle25[[#This Row],[molar ratio metal additive]]</f>
        <v>0</v>
      </c>
      <c r="AD46" s="7">
        <f>Tabelle25[[#This Row],[molar ratio metal metal]]</f>
        <v>0</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row>
    <row r="47" spans="1:207" s="2" customFormat="1" ht="18" customHeight="1">
      <c r="A47" s="7">
        <f>Tabelle25[[#This Row],[institution
voc4cat:0007842]]</f>
        <v>0</v>
      </c>
      <c r="B47" s="7">
        <f>Tabelle25[[#This Row],[catalyst barcode  
(barcode: AFO_/result'#AFR:0002690)]]</f>
        <v>0</v>
      </c>
      <c r="C47" s="7">
        <f>Tabelle25[[#This Row],[identifier  
dct]]</f>
        <v>0</v>
      </c>
      <c r="D47" s="7">
        <f>Tabelle25[[#This Row],[catalyst
voc4cat:0007014]]</f>
        <v>0</v>
      </c>
      <c r="E47" s="7">
        <f>Tabelle25[[#This Row],[Name
dct:title]]</f>
        <v>0</v>
      </c>
      <c r="F47" s="7">
        <f>Tabelle25[[#This Row],[Preparation method
voc4cat:0007016]]</f>
        <v>0</v>
      </c>
      <c r="G47" s="7">
        <f>Tabelle25[[#This Row],[Support  
voc4cat:0007825]]</f>
        <v>0</v>
      </c>
      <c r="H47" s="7">
        <f>Tabelle25[[#This Row],[Support Barcode
(barcode: AFO_/result'#AFR:0002690)]]</f>
        <v>0</v>
      </c>
      <c r="I47" s="7">
        <f>Tabelle25[[#This Row],[Support identifier
dct]]</f>
        <v>0</v>
      </c>
      <c r="J47" s="7">
        <f>Tabelle25[[#This Row],[Support shape]]</f>
        <v>0</v>
      </c>
      <c r="K47" s="7">
        <f>Tabelle25[[#This Row],[Support Pretreatment
voc4cat:sample pretreatment voc4cat:0000123]]</f>
        <v>0</v>
      </c>
      <c r="L47" s="7">
        <f>Tabelle25[[#This Row],[Precursor 1 
precursor: voc4cat:0007794]]</f>
        <v>0</v>
      </c>
      <c r="M47" s="7">
        <f>Tabelle25[[#This Row],[Precursor 1 
dct:identifier
SMILES, InChi or InChiKey]]</f>
        <v>0</v>
      </c>
      <c r="N47" s="7">
        <f>Tabelle25[[#This Row],[Precursor 1 amount
voc4cat:sample mass
voc4cat:0007038]]</f>
        <v>0</v>
      </c>
      <c r="O47" s="7">
        <f>Tabelle25[[#This Row],[Precursor 2 
precursor: voc4cat:0007794]]</f>
        <v>0</v>
      </c>
      <c r="P47" s="7">
        <f>Tabelle25[[#This Row],[Precursor 2 
dct:identifier
SMILES, InChi or InChiKey]]</f>
        <v>0</v>
      </c>
      <c r="Q47" s="7">
        <f>Tabelle25[[#This Row],[Precursor 2 amount
voc4cat:sample mass
voc4cat:0007038]]</f>
        <v>0</v>
      </c>
      <c r="R47" s="7">
        <f>Tabelle25[[#This Row],[Precursor 3 
precursor: voc4cat:0007794]]</f>
        <v>0</v>
      </c>
      <c r="S47" s="7">
        <f>Tabelle25[[#This Row],[Precursor 3 
dct:identifier
SMILES, InChi or InChiKey]]</f>
        <v>0</v>
      </c>
      <c r="T47" s="7">
        <f>Tabelle25[[#This Row],[Precursor 3 amount
voc4cat:sample mass
voc4cat:0007038]]</f>
        <v>0</v>
      </c>
      <c r="U47" s="7">
        <f>Tabelle25[[#This Row],[Precursor 4 
precursor: voc4cat:0007794]]</f>
        <v>0</v>
      </c>
      <c r="V47" s="7">
        <f>Tabelle25[[#This Row],[Precursor 4 
dct:identifier
SMILES, InChi or InChiKey]]</f>
        <v>0</v>
      </c>
      <c r="W47" s="7">
        <f>Tabelle25[[#This Row],[Precursor 4 amount
voc4cat:sample mass
voc4cat:0007038]]</f>
        <v>0</v>
      </c>
      <c r="X47" s="7">
        <f>Tabelle25[[#This Row],[additive
voc4cat:0007793]]</f>
        <v>0</v>
      </c>
      <c r="Y47" s="7">
        <f>Tabelle25[[#This Row],[additive
dct:identifier
SMILES, InChi or InChiKey]]</f>
        <v>0</v>
      </c>
      <c r="Z47" s="7">
        <f>Tabelle25[[#This Row],[Additive amount
voc4cat:sample mass
voc4cat:0007038]]</f>
        <v>0</v>
      </c>
      <c r="AA47" s="7">
        <f>Tabelle25[[#This Row],[Metal]]</f>
        <v>0</v>
      </c>
      <c r="AB47" s="7">
        <f>Tabelle25[[#This Row],[Metal loading, nominal (wt%)
voc4cat:0007815]]</f>
        <v>0</v>
      </c>
      <c r="AC47" s="7">
        <f>Tabelle25[[#This Row],[molar ratio metal additive]]</f>
        <v>0</v>
      </c>
      <c r="AD47" s="7">
        <f>Tabelle25[[#This Row],[molar ratio metal metal]]</f>
        <v>0</v>
      </c>
    </row>
    <row r="48" spans="1:207" s="2" customFormat="1" ht="18" customHeight="1">
      <c r="A48" s="7">
        <f>Tabelle25[[#This Row],[institution
voc4cat:0007842]]</f>
        <v>0</v>
      </c>
      <c r="B48" s="7">
        <f>Tabelle25[[#This Row],[catalyst barcode  
(barcode: AFO_/result'#AFR:0002690)]]</f>
        <v>0</v>
      </c>
      <c r="C48" s="7">
        <f>Tabelle25[[#This Row],[identifier  
dct]]</f>
        <v>0</v>
      </c>
      <c r="D48" s="7">
        <f>Tabelle25[[#This Row],[catalyst
voc4cat:0007014]]</f>
        <v>0</v>
      </c>
      <c r="E48" s="7">
        <f>Tabelle25[[#This Row],[Name
dct:title]]</f>
        <v>0</v>
      </c>
      <c r="F48" s="7">
        <f>Tabelle25[[#This Row],[Preparation method
voc4cat:0007016]]</f>
        <v>0</v>
      </c>
      <c r="G48" s="7">
        <f>Tabelle25[[#This Row],[Support  
voc4cat:0007825]]</f>
        <v>0</v>
      </c>
      <c r="H48" s="7">
        <f>Tabelle25[[#This Row],[Support Barcode
(barcode: AFO_/result'#AFR:0002690)]]</f>
        <v>0</v>
      </c>
      <c r="I48" s="7">
        <f>Tabelle25[[#This Row],[Support identifier
dct]]</f>
        <v>0</v>
      </c>
      <c r="J48" s="7">
        <f>Tabelle25[[#This Row],[Support shape]]</f>
        <v>0</v>
      </c>
      <c r="K48" s="7">
        <f>Tabelle25[[#This Row],[Support Pretreatment
voc4cat:sample pretreatment voc4cat:0000123]]</f>
        <v>0</v>
      </c>
      <c r="L48" s="7">
        <f>Tabelle25[[#This Row],[Precursor 1 
precursor: voc4cat:0007794]]</f>
        <v>0</v>
      </c>
      <c r="M48" s="7">
        <f>Tabelle25[[#This Row],[Precursor 1 
dct:identifier
SMILES, InChi or InChiKey]]</f>
        <v>0</v>
      </c>
      <c r="N48" s="7">
        <f>Tabelle25[[#This Row],[Precursor 1 amount
voc4cat:sample mass
voc4cat:0007038]]</f>
        <v>0</v>
      </c>
      <c r="O48" s="7">
        <f>Tabelle25[[#This Row],[Precursor 2 
precursor: voc4cat:0007794]]</f>
        <v>0</v>
      </c>
      <c r="P48" s="7">
        <f>Tabelle25[[#This Row],[Precursor 2 
dct:identifier
SMILES, InChi or InChiKey]]</f>
        <v>0</v>
      </c>
      <c r="Q48" s="7">
        <f>Tabelle25[[#This Row],[Precursor 2 amount
voc4cat:sample mass
voc4cat:0007038]]</f>
        <v>0</v>
      </c>
      <c r="R48" s="7">
        <f>Tabelle25[[#This Row],[Precursor 3 
precursor: voc4cat:0007794]]</f>
        <v>0</v>
      </c>
      <c r="S48" s="7">
        <f>Tabelle25[[#This Row],[Precursor 3 
dct:identifier
SMILES, InChi or InChiKey]]</f>
        <v>0</v>
      </c>
      <c r="T48" s="7">
        <f>Tabelle25[[#This Row],[Precursor 3 amount
voc4cat:sample mass
voc4cat:0007038]]</f>
        <v>0</v>
      </c>
      <c r="U48" s="7">
        <f>Tabelle25[[#This Row],[Precursor 4 
precursor: voc4cat:0007794]]</f>
        <v>0</v>
      </c>
      <c r="V48" s="7">
        <f>Tabelle25[[#This Row],[Precursor 4 
dct:identifier
SMILES, InChi or InChiKey]]</f>
        <v>0</v>
      </c>
      <c r="W48" s="7">
        <f>Tabelle25[[#This Row],[Precursor 4 amount
voc4cat:sample mass
voc4cat:0007038]]</f>
        <v>0</v>
      </c>
      <c r="X48" s="7">
        <f>Tabelle25[[#This Row],[additive
voc4cat:0007793]]</f>
        <v>0</v>
      </c>
      <c r="Y48" s="7">
        <f>Tabelle25[[#This Row],[additive
dct:identifier
SMILES, InChi or InChiKey]]</f>
        <v>0</v>
      </c>
      <c r="Z48" s="7">
        <f>Tabelle25[[#This Row],[Additive amount
voc4cat:sample mass
voc4cat:0007038]]</f>
        <v>0</v>
      </c>
      <c r="AA48" s="7">
        <f>Tabelle25[[#This Row],[Metal]]</f>
        <v>0</v>
      </c>
      <c r="AB48" s="7">
        <f>Tabelle25[[#This Row],[Metal loading, nominal (wt%)
voc4cat:0007815]]</f>
        <v>0</v>
      </c>
      <c r="AC48" s="7">
        <f>Tabelle25[[#This Row],[molar ratio metal additive]]</f>
        <v>0</v>
      </c>
      <c r="AD48" s="7">
        <f>Tabelle25[[#This Row],[molar ratio metal metal]]</f>
        <v>0</v>
      </c>
    </row>
    <row r="49" spans="1:30" s="2" customFormat="1" ht="18" customHeight="1">
      <c r="A49" s="7">
        <f>Tabelle25[[#This Row],[institution
voc4cat:0007842]]</f>
        <v>0</v>
      </c>
      <c r="B49" s="7">
        <f>Tabelle25[[#This Row],[catalyst barcode  
(barcode: AFO_/result'#AFR:0002690)]]</f>
        <v>0</v>
      </c>
      <c r="C49" s="7">
        <f>Tabelle25[[#This Row],[identifier  
dct]]</f>
        <v>0</v>
      </c>
      <c r="D49" s="7">
        <f>Tabelle25[[#This Row],[catalyst
voc4cat:0007014]]</f>
        <v>0</v>
      </c>
      <c r="E49" s="7">
        <f>Tabelle25[[#This Row],[Name
dct:title]]</f>
        <v>0</v>
      </c>
      <c r="F49" s="7">
        <f>Tabelle25[[#This Row],[Preparation method
voc4cat:0007016]]</f>
        <v>0</v>
      </c>
      <c r="G49" s="7">
        <f>Tabelle25[[#This Row],[Support  
voc4cat:0007825]]</f>
        <v>0</v>
      </c>
      <c r="H49" s="7">
        <f>Tabelle25[[#This Row],[Support Barcode
(barcode: AFO_/result'#AFR:0002690)]]</f>
        <v>0</v>
      </c>
      <c r="I49" s="7">
        <f>Tabelle25[[#This Row],[Support identifier
dct]]</f>
        <v>0</v>
      </c>
      <c r="J49" s="7">
        <f>Tabelle25[[#This Row],[Support shape]]</f>
        <v>0</v>
      </c>
      <c r="K49" s="7">
        <f>Tabelle25[[#This Row],[Support Pretreatment
voc4cat:sample pretreatment voc4cat:0000123]]</f>
        <v>0</v>
      </c>
      <c r="L49" s="7">
        <f>Tabelle25[[#This Row],[Precursor 1 
precursor: voc4cat:0007794]]</f>
        <v>0</v>
      </c>
      <c r="M49" s="7">
        <f>Tabelle25[[#This Row],[Precursor 1 
dct:identifier
SMILES, InChi or InChiKey]]</f>
        <v>0</v>
      </c>
      <c r="N49" s="7">
        <f>Tabelle25[[#This Row],[Precursor 1 amount
voc4cat:sample mass
voc4cat:0007038]]</f>
        <v>0</v>
      </c>
      <c r="O49" s="7">
        <f>Tabelle25[[#This Row],[Precursor 2 
precursor: voc4cat:0007794]]</f>
        <v>0</v>
      </c>
      <c r="P49" s="7">
        <f>Tabelle25[[#This Row],[Precursor 2 
dct:identifier
SMILES, InChi or InChiKey]]</f>
        <v>0</v>
      </c>
      <c r="Q49" s="7">
        <f>Tabelle25[[#This Row],[Precursor 2 amount
voc4cat:sample mass
voc4cat:0007038]]</f>
        <v>0</v>
      </c>
      <c r="R49" s="7">
        <f>Tabelle25[[#This Row],[Precursor 3 
precursor: voc4cat:0007794]]</f>
        <v>0</v>
      </c>
      <c r="S49" s="7">
        <f>Tabelle25[[#This Row],[Precursor 3 
dct:identifier
SMILES, InChi or InChiKey]]</f>
        <v>0</v>
      </c>
      <c r="T49" s="7">
        <f>Tabelle25[[#This Row],[Precursor 3 amount
voc4cat:sample mass
voc4cat:0007038]]</f>
        <v>0</v>
      </c>
      <c r="U49" s="7">
        <f>Tabelle25[[#This Row],[Precursor 4 
precursor: voc4cat:0007794]]</f>
        <v>0</v>
      </c>
      <c r="V49" s="7">
        <f>Tabelle25[[#This Row],[Precursor 4 
dct:identifier
SMILES, InChi or InChiKey]]</f>
        <v>0</v>
      </c>
      <c r="W49" s="7">
        <f>Tabelle25[[#This Row],[Precursor 4 amount
voc4cat:sample mass
voc4cat:0007038]]</f>
        <v>0</v>
      </c>
      <c r="X49" s="7">
        <f>Tabelle25[[#This Row],[additive
voc4cat:0007793]]</f>
        <v>0</v>
      </c>
      <c r="Y49" s="7">
        <f>Tabelle25[[#This Row],[additive
dct:identifier
SMILES, InChi or InChiKey]]</f>
        <v>0</v>
      </c>
      <c r="Z49" s="7">
        <f>Tabelle25[[#This Row],[Additive amount
voc4cat:sample mass
voc4cat:0007038]]</f>
        <v>0</v>
      </c>
      <c r="AA49" s="7">
        <f>Tabelle25[[#This Row],[Metal]]</f>
        <v>0</v>
      </c>
      <c r="AB49" s="7">
        <f>Tabelle25[[#This Row],[Metal loading, nominal (wt%)
voc4cat:0007815]]</f>
        <v>0</v>
      </c>
      <c r="AC49" s="7">
        <f>Tabelle25[[#This Row],[molar ratio metal additive]]</f>
        <v>0</v>
      </c>
      <c r="AD49" s="7">
        <f>Tabelle25[[#This Row],[molar ratio metal metal]]</f>
        <v>0</v>
      </c>
    </row>
    <row r="50" spans="1:30" s="2" customFormat="1" ht="18" customHeight="1">
      <c r="A50" s="7">
        <f>Tabelle25[[#This Row],[institution
voc4cat:0007842]]</f>
        <v>0</v>
      </c>
      <c r="B50" s="7">
        <f>Tabelle25[[#This Row],[catalyst barcode  
(barcode: AFO_/result'#AFR:0002690)]]</f>
        <v>0</v>
      </c>
      <c r="C50" s="7">
        <f>Tabelle25[[#This Row],[identifier  
dct]]</f>
        <v>0</v>
      </c>
      <c r="D50" s="7">
        <f>Tabelle25[[#This Row],[catalyst
voc4cat:0007014]]</f>
        <v>0</v>
      </c>
      <c r="E50" s="7">
        <f>Tabelle25[[#This Row],[Name
dct:title]]</f>
        <v>0</v>
      </c>
      <c r="F50" s="7">
        <f>Tabelle25[[#This Row],[Preparation method
voc4cat:0007016]]</f>
        <v>0</v>
      </c>
      <c r="G50" s="7">
        <f>Tabelle25[[#This Row],[Support  
voc4cat:0007825]]</f>
        <v>0</v>
      </c>
      <c r="H50" s="7">
        <f>Tabelle25[[#This Row],[Support Barcode
(barcode: AFO_/result'#AFR:0002690)]]</f>
        <v>0</v>
      </c>
      <c r="I50" s="7">
        <f>Tabelle25[[#This Row],[Support identifier
dct]]</f>
        <v>0</v>
      </c>
      <c r="J50" s="7">
        <f>Tabelle25[[#This Row],[Support shape]]</f>
        <v>0</v>
      </c>
      <c r="K50" s="7">
        <f>Tabelle25[[#This Row],[Support Pretreatment
voc4cat:sample pretreatment voc4cat:0000123]]</f>
        <v>0</v>
      </c>
      <c r="L50" s="7">
        <f>Tabelle25[[#This Row],[Precursor 1 
precursor: voc4cat:0007794]]</f>
        <v>0</v>
      </c>
      <c r="M50" s="7">
        <f>Tabelle25[[#This Row],[Precursor 1 
dct:identifier
SMILES, InChi or InChiKey]]</f>
        <v>0</v>
      </c>
      <c r="N50" s="7">
        <f>Tabelle25[[#This Row],[Precursor 1 amount
voc4cat:sample mass
voc4cat:0007038]]</f>
        <v>0</v>
      </c>
      <c r="O50" s="7">
        <f>Tabelle25[[#This Row],[Precursor 2 
precursor: voc4cat:0007794]]</f>
        <v>0</v>
      </c>
      <c r="P50" s="7">
        <f>Tabelle25[[#This Row],[Precursor 2 
dct:identifier
SMILES, InChi or InChiKey]]</f>
        <v>0</v>
      </c>
      <c r="Q50" s="7">
        <f>Tabelle25[[#This Row],[Precursor 2 amount
voc4cat:sample mass
voc4cat:0007038]]</f>
        <v>0</v>
      </c>
      <c r="R50" s="7">
        <f>Tabelle25[[#This Row],[Precursor 3 
precursor: voc4cat:0007794]]</f>
        <v>0</v>
      </c>
      <c r="S50" s="7">
        <f>Tabelle25[[#This Row],[Precursor 3 
dct:identifier
SMILES, InChi or InChiKey]]</f>
        <v>0</v>
      </c>
      <c r="T50" s="7">
        <f>Tabelle25[[#This Row],[Precursor 3 amount
voc4cat:sample mass
voc4cat:0007038]]</f>
        <v>0</v>
      </c>
      <c r="U50" s="7">
        <f>Tabelle25[[#This Row],[Precursor 4 
precursor: voc4cat:0007794]]</f>
        <v>0</v>
      </c>
      <c r="V50" s="7">
        <f>Tabelle25[[#This Row],[Precursor 4 
dct:identifier
SMILES, InChi or InChiKey]]</f>
        <v>0</v>
      </c>
      <c r="W50" s="7">
        <f>Tabelle25[[#This Row],[Precursor 4 amount
voc4cat:sample mass
voc4cat:0007038]]</f>
        <v>0</v>
      </c>
      <c r="X50" s="7">
        <f>Tabelle25[[#This Row],[additive
voc4cat:0007793]]</f>
        <v>0</v>
      </c>
      <c r="Y50" s="7">
        <f>Tabelle25[[#This Row],[additive
dct:identifier
SMILES, InChi or InChiKey]]</f>
        <v>0</v>
      </c>
      <c r="Z50" s="7">
        <f>Tabelle25[[#This Row],[Additive amount
voc4cat:sample mass
voc4cat:0007038]]</f>
        <v>0</v>
      </c>
      <c r="AA50" s="7">
        <f>Tabelle25[[#This Row],[Metal]]</f>
        <v>0</v>
      </c>
      <c r="AB50" s="7">
        <f>Tabelle25[[#This Row],[Metal loading, nominal (wt%)
voc4cat:0007815]]</f>
        <v>0</v>
      </c>
      <c r="AC50" s="7">
        <f>Tabelle25[[#This Row],[molar ratio metal additive]]</f>
        <v>0</v>
      </c>
      <c r="AD50" s="7">
        <f>Tabelle25[[#This Row],[molar ratio metal metal]]</f>
        <v>0</v>
      </c>
    </row>
    <row r="51" spans="1:30" s="2" customFormat="1" ht="18" customHeight="1">
      <c r="A51" s="7">
        <f>Tabelle25[[#This Row],[institution
voc4cat:0007842]]</f>
        <v>0</v>
      </c>
      <c r="B51" s="7">
        <f>Tabelle25[[#This Row],[catalyst barcode  
(barcode: AFO_/result'#AFR:0002690)]]</f>
        <v>0</v>
      </c>
      <c r="C51" s="7">
        <f>Tabelle25[[#This Row],[identifier  
dct]]</f>
        <v>0</v>
      </c>
      <c r="D51" s="7">
        <f>Tabelle25[[#This Row],[catalyst
voc4cat:0007014]]</f>
        <v>0</v>
      </c>
      <c r="E51" s="7">
        <f>Tabelle25[[#This Row],[Name
dct:title]]</f>
        <v>0</v>
      </c>
      <c r="F51" s="7">
        <f>Tabelle25[[#This Row],[Preparation method
voc4cat:0007016]]</f>
        <v>0</v>
      </c>
      <c r="G51" s="7">
        <f>Tabelle25[[#This Row],[Support  
voc4cat:0007825]]</f>
        <v>0</v>
      </c>
      <c r="H51" s="7">
        <f>Tabelle25[[#This Row],[Support Barcode
(barcode: AFO_/result'#AFR:0002690)]]</f>
        <v>0</v>
      </c>
      <c r="I51" s="7">
        <f>Tabelle25[[#This Row],[Support identifier
dct]]</f>
        <v>0</v>
      </c>
      <c r="J51" s="7">
        <f>Tabelle25[[#This Row],[Support shape]]</f>
        <v>0</v>
      </c>
      <c r="K51" s="7">
        <f>Tabelle25[[#This Row],[Support Pretreatment
voc4cat:sample pretreatment voc4cat:0000123]]</f>
        <v>0</v>
      </c>
      <c r="L51" s="7">
        <f>Tabelle25[[#This Row],[Precursor 1 
precursor: voc4cat:0007794]]</f>
        <v>0</v>
      </c>
      <c r="M51" s="7">
        <f>Tabelle25[[#This Row],[Precursor 1 
dct:identifier
SMILES, InChi or InChiKey]]</f>
        <v>0</v>
      </c>
      <c r="N51" s="7">
        <f>Tabelle25[[#This Row],[Precursor 1 amount
voc4cat:sample mass
voc4cat:0007038]]</f>
        <v>0</v>
      </c>
      <c r="O51" s="7">
        <f>Tabelle25[[#This Row],[Precursor 2 
precursor: voc4cat:0007794]]</f>
        <v>0</v>
      </c>
      <c r="P51" s="7">
        <f>Tabelle25[[#This Row],[Precursor 2 
dct:identifier
SMILES, InChi or InChiKey]]</f>
        <v>0</v>
      </c>
      <c r="Q51" s="7">
        <f>Tabelle25[[#This Row],[Precursor 2 amount
voc4cat:sample mass
voc4cat:0007038]]</f>
        <v>0</v>
      </c>
      <c r="R51" s="7">
        <f>Tabelle25[[#This Row],[Precursor 3 
precursor: voc4cat:0007794]]</f>
        <v>0</v>
      </c>
      <c r="S51" s="7">
        <f>Tabelle25[[#This Row],[Precursor 3 
dct:identifier
SMILES, InChi or InChiKey]]</f>
        <v>0</v>
      </c>
      <c r="T51" s="7">
        <f>Tabelle25[[#This Row],[Precursor 3 amount
voc4cat:sample mass
voc4cat:0007038]]</f>
        <v>0</v>
      </c>
      <c r="U51" s="7">
        <f>Tabelle25[[#This Row],[Precursor 4 
precursor: voc4cat:0007794]]</f>
        <v>0</v>
      </c>
      <c r="V51" s="7">
        <f>Tabelle25[[#This Row],[Precursor 4 
dct:identifier
SMILES, InChi or InChiKey]]</f>
        <v>0</v>
      </c>
      <c r="W51" s="7">
        <f>Tabelle25[[#This Row],[Precursor 4 amount
voc4cat:sample mass
voc4cat:0007038]]</f>
        <v>0</v>
      </c>
      <c r="X51" s="7">
        <f>Tabelle25[[#This Row],[additive
voc4cat:0007793]]</f>
        <v>0</v>
      </c>
      <c r="Y51" s="7">
        <f>Tabelle25[[#This Row],[additive
dct:identifier
SMILES, InChi or InChiKey]]</f>
        <v>0</v>
      </c>
      <c r="Z51" s="7">
        <f>Tabelle25[[#This Row],[Additive amount
voc4cat:sample mass
voc4cat:0007038]]</f>
        <v>0</v>
      </c>
      <c r="AA51" s="7">
        <f>Tabelle25[[#This Row],[Metal]]</f>
        <v>0</v>
      </c>
      <c r="AB51" s="7">
        <f>Tabelle25[[#This Row],[Metal loading, nominal (wt%)
voc4cat:0007815]]</f>
        <v>0</v>
      </c>
      <c r="AC51" s="7">
        <f>Tabelle25[[#This Row],[molar ratio metal additive]]</f>
        <v>0</v>
      </c>
      <c r="AD51" s="7">
        <f>Tabelle25[[#This Row],[molar ratio metal metal]]</f>
        <v>0</v>
      </c>
    </row>
    <row r="52" spans="1:30" s="2" customFormat="1" ht="18" customHeight="1">
      <c r="A52" s="7">
        <f>Tabelle25[[#This Row],[institution
voc4cat:0007842]]</f>
        <v>0</v>
      </c>
      <c r="B52" s="7">
        <f>Tabelle25[[#This Row],[catalyst barcode  
(barcode: AFO_/result'#AFR:0002690)]]</f>
        <v>0</v>
      </c>
      <c r="C52" s="7">
        <f>Tabelle25[[#This Row],[identifier  
dct]]</f>
        <v>0</v>
      </c>
      <c r="D52" s="7">
        <f>Tabelle25[[#This Row],[catalyst
voc4cat:0007014]]</f>
        <v>0</v>
      </c>
      <c r="E52" s="7">
        <f>Tabelle25[[#This Row],[Name
dct:title]]</f>
        <v>0</v>
      </c>
      <c r="F52" s="7">
        <f>Tabelle25[[#This Row],[Preparation method
voc4cat:0007016]]</f>
        <v>0</v>
      </c>
      <c r="G52" s="7">
        <f>Tabelle25[[#This Row],[Support  
voc4cat:0007825]]</f>
        <v>0</v>
      </c>
      <c r="H52" s="7">
        <f>Tabelle25[[#This Row],[Support Barcode
(barcode: AFO_/result'#AFR:0002690)]]</f>
        <v>0</v>
      </c>
      <c r="I52" s="7">
        <f>Tabelle25[[#This Row],[Support identifier
dct]]</f>
        <v>0</v>
      </c>
      <c r="J52" s="7">
        <f>Tabelle25[[#This Row],[Support shape]]</f>
        <v>0</v>
      </c>
      <c r="K52" s="7">
        <f>Tabelle25[[#This Row],[Support Pretreatment
voc4cat:sample pretreatment voc4cat:0000123]]</f>
        <v>0</v>
      </c>
      <c r="L52" s="7">
        <f>Tabelle25[[#This Row],[Precursor 1 
precursor: voc4cat:0007794]]</f>
        <v>0</v>
      </c>
      <c r="M52" s="7">
        <f>Tabelle25[[#This Row],[Precursor 1 
dct:identifier
SMILES, InChi or InChiKey]]</f>
        <v>0</v>
      </c>
      <c r="N52" s="7">
        <f>Tabelle25[[#This Row],[Precursor 1 amount
voc4cat:sample mass
voc4cat:0007038]]</f>
        <v>0</v>
      </c>
      <c r="O52" s="7">
        <f>Tabelle25[[#This Row],[Precursor 2 
precursor: voc4cat:0007794]]</f>
        <v>0</v>
      </c>
      <c r="P52" s="7">
        <f>Tabelle25[[#This Row],[Precursor 2 
dct:identifier
SMILES, InChi or InChiKey]]</f>
        <v>0</v>
      </c>
      <c r="Q52" s="7">
        <f>Tabelle25[[#This Row],[Precursor 2 amount
voc4cat:sample mass
voc4cat:0007038]]</f>
        <v>0</v>
      </c>
      <c r="R52" s="7">
        <f>Tabelle25[[#This Row],[Precursor 3 
precursor: voc4cat:0007794]]</f>
        <v>0</v>
      </c>
      <c r="S52" s="7">
        <f>Tabelle25[[#This Row],[Precursor 3 
dct:identifier
SMILES, InChi or InChiKey]]</f>
        <v>0</v>
      </c>
      <c r="T52" s="7">
        <f>Tabelle25[[#This Row],[Precursor 3 amount
voc4cat:sample mass
voc4cat:0007038]]</f>
        <v>0</v>
      </c>
      <c r="U52" s="7">
        <f>Tabelle25[[#This Row],[Precursor 4 
precursor: voc4cat:0007794]]</f>
        <v>0</v>
      </c>
      <c r="V52" s="7">
        <f>Tabelle25[[#This Row],[Precursor 4 
dct:identifier
SMILES, InChi or InChiKey]]</f>
        <v>0</v>
      </c>
      <c r="W52" s="7">
        <f>Tabelle25[[#This Row],[Precursor 4 amount
voc4cat:sample mass
voc4cat:0007038]]</f>
        <v>0</v>
      </c>
      <c r="X52" s="7">
        <f>Tabelle25[[#This Row],[additive
voc4cat:0007793]]</f>
        <v>0</v>
      </c>
      <c r="Y52" s="7">
        <f>Tabelle25[[#This Row],[additive
dct:identifier
SMILES, InChi or InChiKey]]</f>
        <v>0</v>
      </c>
      <c r="Z52" s="7">
        <f>Tabelle25[[#This Row],[Additive amount
voc4cat:sample mass
voc4cat:0007038]]</f>
        <v>0</v>
      </c>
      <c r="AA52" s="7">
        <f>Tabelle25[[#This Row],[Metal]]</f>
        <v>0</v>
      </c>
      <c r="AB52" s="7">
        <f>Tabelle25[[#This Row],[Metal loading, nominal (wt%)
voc4cat:0007815]]</f>
        <v>0</v>
      </c>
      <c r="AC52" s="7">
        <f>Tabelle25[[#This Row],[molar ratio metal additive]]</f>
        <v>0</v>
      </c>
      <c r="AD52" s="7">
        <f>Tabelle25[[#This Row],[molar ratio metal metal]]</f>
        <v>0</v>
      </c>
    </row>
    <row r="53" spans="1:30" s="2" customFormat="1" ht="18" customHeight="1">
      <c r="A53" s="7">
        <f>Tabelle25[[#This Row],[institution
voc4cat:0007842]]</f>
        <v>0</v>
      </c>
      <c r="B53" s="7">
        <f>Tabelle25[[#This Row],[catalyst barcode  
(barcode: AFO_/result'#AFR:0002690)]]</f>
        <v>0</v>
      </c>
      <c r="C53" s="7">
        <f>Tabelle25[[#This Row],[identifier  
dct]]</f>
        <v>0</v>
      </c>
      <c r="D53" s="7">
        <f>Tabelle25[[#This Row],[catalyst
voc4cat:0007014]]</f>
        <v>0</v>
      </c>
      <c r="E53" s="7">
        <f>Tabelle25[[#This Row],[Name
dct:title]]</f>
        <v>0</v>
      </c>
      <c r="F53" s="7">
        <f>Tabelle25[[#This Row],[Preparation method
voc4cat:0007016]]</f>
        <v>0</v>
      </c>
      <c r="G53" s="7">
        <f>Tabelle25[[#This Row],[Support  
voc4cat:0007825]]</f>
        <v>0</v>
      </c>
      <c r="H53" s="7">
        <f>Tabelle25[[#This Row],[Support Barcode
(barcode: AFO_/result'#AFR:0002690)]]</f>
        <v>0</v>
      </c>
      <c r="I53" s="7">
        <f>Tabelle25[[#This Row],[Support identifier
dct]]</f>
        <v>0</v>
      </c>
      <c r="J53" s="7">
        <f>Tabelle25[[#This Row],[Support shape]]</f>
        <v>0</v>
      </c>
      <c r="K53" s="7">
        <f>Tabelle25[[#This Row],[Support Pretreatment
voc4cat:sample pretreatment voc4cat:0000123]]</f>
        <v>0</v>
      </c>
      <c r="L53" s="7">
        <f>Tabelle25[[#This Row],[Precursor 1 
precursor: voc4cat:0007794]]</f>
        <v>0</v>
      </c>
      <c r="M53" s="7">
        <f>Tabelle25[[#This Row],[Precursor 1 
dct:identifier
SMILES, InChi or InChiKey]]</f>
        <v>0</v>
      </c>
      <c r="N53" s="7">
        <f>Tabelle25[[#This Row],[Precursor 1 amount
voc4cat:sample mass
voc4cat:0007038]]</f>
        <v>0</v>
      </c>
      <c r="O53" s="7">
        <f>Tabelle25[[#This Row],[Precursor 2 
precursor: voc4cat:0007794]]</f>
        <v>0</v>
      </c>
      <c r="P53" s="7">
        <f>Tabelle25[[#This Row],[Precursor 2 
dct:identifier
SMILES, InChi or InChiKey]]</f>
        <v>0</v>
      </c>
      <c r="Q53" s="7">
        <f>Tabelle25[[#This Row],[Precursor 2 amount
voc4cat:sample mass
voc4cat:0007038]]</f>
        <v>0</v>
      </c>
      <c r="R53" s="7">
        <f>Tabelle25[[#This Row],[Precursor 3 
precursor: voc4cat:0007794]]</f>
        <v>0</v>
      </c>
      <c r="S53" s="7">
        <f>Tabelle25[[#This Row],[Precursor 3 
dct:identifier
SMILES, InChi or InChiKey]]</f>
        <v>0</v>
      </c>
      <c r="T53" s="7">
        <f>Tabelle25[[#This Row],[Precursor 3 amount
voc4cat:sample mass
voc4cat:0007038]]</f>
        <v>0</v>
      </c>
      <c r="U53" s="7">
        <f>Tabelle25[[#This Row],[Precursor 4 
precursor: voc4cat:0007794]]</f>
        <v>0</v>
      </c>
      <c r="V53" s="7">
        <f>Tabelle25[[#This Row],[Precursor 4 
dct:identifier
SMILES, InChi or InChiKey]]</f>
        <v>0</v>
      </c>
      <c r="W53" s="7">
        <f>Tabelle25[[#This Row],[Precursor 4 amount
voc4cat:sample mass
voc4cat:0007038]]</f>
        <v>0</v>
      </c>
      <c r="X53" s="7">
        <f>Tabelle25[[#This Row],[additive
voc4cat:0007793]]</f>
        <v>0</v>
      </c>
      <c r="Y53" s="7">
        <f>Tabelle25[[#This Row],[additive
dct:identifier
SMILES, InChi or InChiKey]]</f>
        <v>0</v>
      </c>
      <c r="Z53" s="7">
        <f>Tabelle25[[#This Row],[Additive amount
voc4cat:sample mass
voc4cat:0007038]]</f>
        <v>0</v>
      </c>
      <c r="AA53" s="7">
        <f>Tabelle25[[#This Row],[Metal]]</f>
        <v>0</v>
      </c>
      <c r="AB53" s="7">
        <f>Tabelle25[[#This Row],[Metal loading, nominal (wt%)
voc4cat:0007815]]</f>
        <v>0</v>
      </c>
      <c r="AC53" s="7">
        <f>Tabelle25[[#This Row],[molar ratio metal additive]]</f>
        <v>0</v>
      </c>
      <c r="AD53" s="7">
        <f>Tabelle25[[#This Row],[molar ratio metal metal]]</f>
        <v>0</v>
      </c>
    </row>
    <row r="54" spans="1:30" s="2" customFormat="1" ht="18" customHeight="1">
      <c r="A54" s="7">
        <f>Tabelle25[[#This Row],[institution
voc4cat:0007842]]</f>
        <v>0</v>
      </c>
      <c r="B54" s="7">
        <f>Tabelle25[[#This Row],[catalyst barcode  
(barcode: AFO_/result'#AFR:0002690)]]</f>
        <v>0</v>
      </c>
      <c r="C54" s="7">
        <f>Tabelle25[[#This Row],[identifier  
dct]]</f>
        <v>0</v>
      </c>
      <c r="D54" s="7">
        <f>Tabelle25[[#This Row],[catalyst
voc4cat:0007014]]</f>
        <v>0</v>
      </c>
      <c r="E54" s="7">
        <f>Tabelle25[[#This Row],[Name
dct:title]]</f>
        <v>0</v>
      </c>
      <c r="F54" s="7">
        <f>Tabelle25[[#This Row],[Preparation method
voc4cat:0007016]]</f>
        <v>0</v>
      </c>
      <c r="G54" s="7">
        <f>Tabelle25[[#This Row],[Support  
voc4cat:0007825]]</f>
        <v>0</v>
      </c>
      <c r="H54" s="7">
        <f>Tabelle25[[#This Row],[Support Barcode
(barcode: AFO_/result'#AFR:0002690)]]</f>
        <v>0</v>
      </c>
      <c r="I54" s="7">
        <f>Tabelle25[[#This Row],[Support identifier
dct]]</f>
        <v>0</v>
      </c>
      <c r="J54" s="7">
        <f>Tabelle25[[#This Row],[Support shape]]</f>
        <v>0</v>
      </c>
      <c r="K54" s="7">
        <f>Tabelle25[[#This Row],[Support Pretreatment
voc4cat:sample pretreatment voc4cat:0000123]]</f>
        <v>0</v>
      </c>
      <c r="L54" s="7">
        <f>Tabelle25[[#This Row],[Precursor 1 
precursor: voc4cat:0007794]]</f>
        <v>0</v>
      </c>
      <c r="M54" s="7">
        <f>Tabelle25[[#This Row],[Precursor 1 
dct:identifier
SMILES, InChi or InChiKey]]</f>
        <v>0</v>
      </c>
      <c r="N54" s="7">
        <f>Tabelle25[[#This Row],[Precursor 1 amount
voc4cat:sample mass
voc4cat:0007038]]</f>
        <v>0</v>
      </c>
      <c r="O54" s="7">
        <f>Tabelle25[[#This Row],[Precursor 2 
precursor: voc4cat:0007794]]</f>
        <v>0</v>
      </c>
      <c r="P54" s="7">
        <f>Tabelle25[[#This Row],[Precursor 2 
dct:identifier
SMILES, InChi or InChiKey]]</f>
        <v>0</v>
      </c>
      <c r="Q54" s="7">
        <f>Tabelle25[[#This Row],[Precursor 2 amount
voc4cat:sample mass
voc4cat:0007038]]</f>
        <v>0</v>
      </c>
      <c r="R54" s="7">
        <f>Tabelle25[[#This Row],[Precursor 3 
precursor: voc4cat:0007794]]</f>
        <v>0</v>
      </c>
      <c r="S54" s="7">
        <f>Tabelle25[[#This Row],[Precursor 3 
dct:identifier
SMILES, InChi or InChiKey]]</f>
        <v>0</v>
      </c>
      <c r="T54" s="7">
        <f>Tabelle25[[#This Row],[Precursor 3 amount
voc4cat:sample mass
voc4cat:0007038]]</f>
        <v>0</v>
      </c>
      <c r="U54" s="7">
        <f>Tabelle25[[#This Row],[Precursor 4 
precursor: voc4cat:0007794]]</f>
        <v>0</v>
      </c>
      <c r="V54" s="7">
        <f>Tabelle25[[#This Row],[Precursor 4 
dct:identifier
SMILES, InChi or InChiKey]]</f>
        <v>0</v>
      </c>
      <c r="W54" s="7">
        <f>Tabelle25[[#This Row],[Precursor 4 amount
voc4cat:sample mass
voc4cat:0007038]]</f>
        <v>0</v>
      </c>
      <c r="X54" s="7">
        <f>Tabelle25[[#This Row],[additive
voc4cat:0007793]]</f>
        <v>0</v>
      </c>
      <c r="Y54" s="7">
        <f>Tabelle25[[#This Row],[additive
dct:identifier
SMILES, InChi or InChiKey]]</f>
        <v>0</v>
      </c>
      <c r="Z54" s="7">
        <f>Tabelle25[[#This Row],[Additive amount
voc4cat:sample mass
voc4cat:0007038]]</f>
        <v>0</v>
      </c>
      <c r="AA54" s="7">
        <f>Tabelle25[[#This Row],[Metal]]</f>
        <v>0</v>
      </c>
      <c r="AB54" s="7">
        <f>Tabelle25[[#This Row],[Metal loading, nominal (wt%)
voc4cat:0007815]]</f>
        <v>0</v>
      </c>
      <c r="AC54" s="7">
        <f>Tabelle25[[#This Row],[molar ratio metal additive]]</f>
        <v>0</v>
      </c>
      <c r="AD54" s="7">
        <f>Tabelle25[[#This Row],[molar ratio metal metal]]</f>
        <v>0</v>
      </c>
    </row>
    <row r="55" spans="1:30" s="2" customFormat="1" ht="18" customHeight="1">
      <c r="A55" s="7">
        <f>Tabelle25[[#This Row],[institution
voc4cat:0007842]]</f>
        <v>0</v>
      </c>
      <c r="B55" s="7">
        <f>Tabelle25[[#This Row],[catalyst barcode  
(barcode: AFO_/result'#AFR:0002690)]]</f>
        <v>0</v>
      </c>
      <c r="C55" s="7">
        <f>Tabelle25[[#This Row],[identifier  
dct]]</f>
        <v>0</v>
      </c>
      <c r="D55" s="7">
        <f>Tabelle25[[#This Row],[catalyst
voc4cat:0007014]]</f>
        <v>0</v>
      </c>
      <c r="E55" s="7">
        <f>Tabelle25[[#This Row],[Name
dct:title]]</f>
        <v>0</v>
      </c>
      <c r="F55" s="7">
        <f>Tabelle25[[#This Row],[Preparation method
voc4cat:0007016]]</f>
        <v>0</v>
      </c>
      <c r="G55" s="7">
        <f>Tabelle25[[#This Row],[Support  
voc4cat:0007825]]</f>
        <v>0</v>
      </c>
      <c r="H55" s="7">
        <f>Tabelle25[[#This Row],[Support Barcode
(barcode: AFO_/result'#AFR:0002690)]]</f>
        <v>0</v>
      </c>
      <c r="I55" s="7">
        <f>Tabelle25[[#This Row],[Support identifier
dct]]</f>
        <v>0</v>
      </c>
      <c r="J55" s="7">
        <f>Tabelle25[[#This Row],[Support shape]]</f>
        <v>0</v>
      </c>
      <c r="K55" s="7">
        <f>Tabelle25[[#This Row],[Support Pretreatment
voc4cat:sample pretreatment voc4cat:0000123]]</f>
        <v>0</v>
      </c>
      <c r="L55" s="7">
        <f>Tabelle25[[#This Row],[Precursor 1 
precursor: voc4cat:0007794]]</f>
        <v>0</v>
      </c>
      <c r="M55" s="7">
        <f>Tabelle25[[#This Row],[Precursor 1 
dct:identifier
SMILES, InChi or InChiKey]]</f>
        <v>0</v>
      </c>
      <c r="N55" s="7">
        <f>Tabelle25[[#This Row],[Precursor 1 amount
voc4cat:sample mass
voc4cat:0007038]]</f>
        <v>0</v>
      </c>
      <c r="O55" s="7">
        <f>Tabelle25[[#This Row],[Precursor 2 
precursor: voc4cat:0007794]]</f>
        <v>0</v>
      </c>
      <c r="P55" s="7">
        <f>Tabelle25[[#This Row],[Precursor 2 
dct:identifier
SMILES, InChi or InChiKey]]</f>
        <v>0</v>
      </c>
      <c r="Q55" s="7">
        <f>Tabelle25[[#This Row],[Precursor 2 amount
voc4cat:sample mass
voc4cat:0007038]]</f>
        <v>0</v>
      </c>
      <c r="R55" s="7">
        <f>Tabelle25[[#This Row],[Precursor 3 
precursor: voc4cat:0007794]]</f>
        <v>0</v>
      </c>
      <c r="S55" s="7">
        <f>Tabelle25[[#This Row],[Precursor 3 
dct:identifier
SMILES, InChi or InChiKey]]</f>
        <v>0</v>
      </c>
      <c r="T55" s="7">
        <f>Tabelle25[[#This Row],[Precursor 3 amount
voc4cat:sample mass
voc4cat:0007038]]</f>
        <v>0</v>
      </c>
      <c r="U55" s="7">
        <f>Tabelle25[[#This Row],[Precursor 4 
precursor: voc4cat:0007794]]</f>
        <v>0</v>
      </c>
      <c r="V55" s="7">
        <f>Tabelle25[[#This Row],[Precursor 4 
dct:identifier
SMILES, InChi or InChiKey]]</f>
        <v>0</v>
      </c>
      <c r="W55" s="7">
        <f>Tabelle25[[#This Row],[Precursor 4 amount
voc4cat:sample mass
voc4cat:0007038]]</f>
        <v>0</v>
      </c>
      <c r="X55" s="7">
        <f>Tabelle25[[#This Row],[additive
voc4cat:0007793]]</f>
        <v>0</v>
      </c>
      <c r="Y55" s="7">
        <f>Tabelle25[[#This Row],[additive
dct:identifier
SMILES, InChi or InChiKey]]</f>
        <v>0</v>
      </c>
      <c r="Z55" s="7">
        <f>Tabelle25[[#This Row],[Additive amount
voc4cat:sample mass
voc4cat:0007038]]</f>
        <v>0</v>
      </c>
      <c r="AA55" s="7">
        <f>Tabelle25[[#This Row],[Metal]]</f>
        <v>0</v>
      </c>
      <c r="AB55" s="7">
        <f>Tabelle25[[#This Row],[Metal loading, nominal (wt%)
voc4cat:0007815]]</f>
        <v>0</v>
      </c>
      <c r="AC55" s="7">
        <f>Tabelle25[[#This Row],[molar ratio metal additive]]</f>
        <v>0</v>
      </c>
      <c r="AD55" s="7">
        <f>Tabelle25[[#This Row],[molar ratio metal metal]]</f>
        <v>0</v>
      </c>
    </row>
    <row r="56" spans="1:30" s="2" customFormat="1" ht="18" customHeight="1">
      <c r="A56" s="7">
        <f>Tabelle25[[#This Row],[institution
voc4cat:0007842]]</f>
        <v>0</v>
      </c>
      <c r="B56" s="7">
        <f>Tabelle25[[#This Row],[catalyst barcode  
(barcode: AFO_/result'#AFR:0002690)]]</f>
        <v>0</v>
      </c>
      <c r="C56" s="7">
        <f>Tabelle25[[#This Row],[identifier  
dct]]</f>
        <v>0</v>
      </c>
      <c r="D56" s="7">
        <f>Tabelle25[[#This Row],[catalyst
voc4cat:0007014]]</f>
        <v>0</v>
      </c>
      <c r="E56" s="7">
        <f>Tabelle25[[#This Row],[Name
dct:title]]</f>
        <v>0</v>
      </c>
      <c r="F56" s="7">
        <f>Tabelle25[[#This Row],[Preparation method
voc4cat:0007016]]</f>
        <v>0</v>
      </c>
      <c r="G56" s="7">
        <f>Tabelle25[[#This Row],[Support  
voc4cat:0007825]]</f>
        <v>0</v>
      </c>
      <c r="H56" s="7">
        <f>Tabelle25[[#This Row],[Support Barcode
(barcode: AFO_/result'#AFR:0002690)]]</f>
        <v>0</v>
      </c>
      <c r="I56" s="7">
        <f>Tabelle25[[#This Row],[Support identifier
dct]]</f>
        <v>0</v>
      </c>
      <c r="J56" s="7">
        <f>Tabelle25[[#This Row],[Support shape]]</f>
        <v>0</v>
      </c>
      <c r="K56" s="7">
        <f>Tabelle25[[#This Row],[Support Pretreatment
voc4cat:sample pretreatment voc4cat:0000123]]</f>
        <v>0</v>
      </c>
      <c r="L56" s="7">
        <f>Tabelle25[[#This Row],[Precursor 1 
precursor: voc4cat:0007794]]</f>
        <v>0</v>
      </c>
      <c r="M56" s="7">
        <f>Tabelle25[[#This Row],[Precursor 1 
dct:identifier
SMILES, InChi or InChiKey]]</f>
        <v>0</v>
      </c>
      <c r="N56" s="7">
        <f>Tabelle25[[#This Row],[Precursor 1 amount
voc4cat:sample mass
voc4cat:0007038]]</f>
        <v>0</v>
      </c>
      <c r="O56" s="7">
        <f>Tabelle25[[#This Row],[Precursor 2 
precursor: voc4cat:0007794]]</f>
        <v>0</v>
      </c>
      <c r="P56" s="7">
        <f>Tabelle25[[#This Row],[Precursor 2 
dct:identifier
SMILES, InChi or InChiKey]]</f>
        <v>0</v>
      </c>
      <c r="Q56" s="7">
        <f>Tabelle25[[#This Row],[Precursor 2 amount
voc4cat:sample mass
voc4cat:0007038]]</f>
        <v>0</v>
      </c>
      <c r="R56" s="7">
        <f>Tabelle25[[#This Row],[Precursor 3 
precursor: voc4cat:0007794]]</f>
        <v>0</v>
      </c>
      <c r="S56" s="7">
        <f>Tabelle25[[#This Row],[Precursor 3 
dct:identifier
SMILES, InChi or InChiKey]]</f>
        <v>0</v>
      </c>
      <c r="T56" s="7">
        <f>Tabelle25[[#This Row],[Precursor 3 amount
voc4cat:sample mass
voc4cat:0007038]]</f>
        <v>0</v>
      </c>
      <c r="U56" s="7">
        <f>Tabelle25[[#This Row],[Precursor 4 
precursor: voc4cat:0007794]]</f>
        <v>0</v>
      </c>
      <c r="V56" s="7">
        <f>Tabelle25[[#This Row],[Precursor 4 
dct:identifier
SMILES, InChi or InChiKey]]</f>
        <v>0</v>
      </c>
      <c r="W56" s="7">
        <f>Tabelle25[[#This Row],[Precursor 4 amount
voc4cat:sample mass
voc4cat:0007038]]</f>
        <v>0</v>
      </c>
      <c r="X56" s="7">
        <f>Tabelle25[[#This Row],[additive
voc4cat:0007793]]</f>
        <v>0</v>
      </c>
      <c r="Y56" s="7">
        <f>Tabelle25[[#This Row],[additive
dct:identifier
SMILES, InChi or InChiKey]]</f>
        <v>0</v>
      </c>
      <c r="Z56" s="7">
        <f>Tabelle25[[#This Row],[Additive amount
voc4cat:sample mass
voc4cat:0007038]]</f>
        <v>0</v>
      </c>
      <c r="AA56" s="7">
        <f>Tabelle25[[#This Row],[Metal]]</f>
        <v>0</v>
      </c>
      <c r="AB56" s="7">
        <f>Tabelle25[[#This Row],[Metal loading, nominal (wt%)
voc4cat:0007815]]</f>
        <v>0</v>
      </c>
      <c r="AC56" s="7">
        <f>Tabelle25[[#This Row],[molar ratio metal additive]]</f>
        <v>0</v>
      </c>
      <c r="AD56" s="7">
        <f>Tabelle25[[#This Row],[molar ratio metal metal]]</f>
        <v>0</v>
      </c>
    </row>
    <row r="57" spans="1:30" s="2" customFormat="1" ht="18" customHeight="1">
      <c r="A57" s="7">
        <f>Tabelle25[[#This Row],[institution
voc4cat:0007842]]</f>
        <v>0</v>
      </c>
      <c r="B57" s="7">
        <f>Tabelle25[[#This Row],[catalyst barcode  
(barcode: AFO_/result'#AFR:0002690)]]</f>
        <v>0</v>
      </c>
      <c r="C57" s="7">
        <f>Tabelle25[[#This Row],[identifier  
dct]]</f>
        <v>0</v>
      </c>
      <c r="D57" s="7">
        <f>Tabelle25[[#This Row],[catalyst
voc4cat:0007014]]</f>
        <v>0</v>
      </c>
      <c r="E57" s="7">
        <f>Tabelle25[[#This Row],[Name
dct:title]]</f>
        <v>0</v>
      </c>
      <c r="F57" s="7">
        <f>Tabelle25[[#This Row],[Preparation method
voc4cat:0007016]]</f>
        <v>0</v>
      </c>
      <c r="G57" s="7">
        <f>Tabelle25[[#This Row],[Support  
voc4cat:0007825]]</f>
        <v>0</v>
      </c>
      <c r="H57" s="7">
        <f>Tabelle25[[#This Row],[Support Barcode
(barcode: AFO_/result'#AFR:0002690)]]</f>
        <v>0</v>
      </c>
      <c r="I57" s="7">
        <f>Tabelle25[[#This Row],[Support identifier
dct]]</f>
        <v>0</v>
      </c>
      <c r="J57" s="7">
        <f>Tabelle25[[#This Row],[Support shape]]</f>
        <v>0</v>
      </c>
      <c r="K57" s="7">
        <f>Tabelle25[[#This Row],[Support Pretreatment
voc4cat:sample pretreatment voc4cat:0000123]]</f>
        <v>0</v>
      </c>
      <c r="L57" s="7">
        <f>Tabelle25[[#This Row],[Precursor 1 
precursor: voc4cat:0007794]]</f>
        <v>0</v>
      </c>
      <c r="M57" s="7">
        <f>Tabelle25[[#This Row],[Precursor 1 
dct:identifier
SMILES, InChi or InChiKey]]</f>
        <v>0</v>
      </c>
      <c r="N57" s="7">
        <f>Tabelle25[[#This Row],[Precursor 1 amount
voc4cat:sample mass
voc4cat:0007038]]</f>
        <v>0</v>
      </c>
      <c r="O57" s="7">
        <f>Tabelle25[[#This Row],[Precursor 2 
precursor: voc4cat:0007794]]</f>
        <v>0</v>
      </c>
      <c r="P57" s="7">
        <f>Tabelle25[[#This Row],[Precursor 2 
dct:identifier
SMILES, InChi or InChiKey]]</f>
        <v>0</v>
      </c>
      <c r="Q57" s="7">
        <f>Tabelle25[[#This Row],[Precursor 2 amount
voc4cat:sample mass
voc4cat:0007038]]</f>
        <v>0</v>
      </c>
      <c r="R57" s="7">
        <f>Tabelle25[[#This Row],[Precursor 3 
precursor: voc4cat:0007794]]</f>
        <v>0</v>
      </c>
      <c r="S57" s="7">
        <f>Tabelle25[[#This Row],[Precursor 3 
dct:identifier
SMILES, InChi or InChiKey]]</f>
        <v>0</v>
      </c>
      <c r="T57" s="7">
        <f>Tabelle25[[#This Row],[Precursor 3 amount
voc4cat:sample mass
voc4cat:0007038]]</f>
        <v>0</v>
      </c>
      <c r="U57" s="7">
        <f>Tabelle25[[#This Row],[Precursor 4 
precursor: voc4cat:0007794]]</f>
        <v>0</v>
      </c>
      <c r="V57" s="7">
        <f>Tabelle25[[#This Row],[Precursor 4 
dct:identifier
SMILES, InChi or InChiKey]]</f>
        <v>0</v>
      </c>
      <c r="W57" s="7">
        <f>Tabelle25[[#This Row],[Precursor 4 amount
voc4cat:sample mass
voc4cat:0007038]]</f>
        <v>0</v>
      </c>
      <c r="X57" s="7">
        <f>Tabelle25[[#This Row],[additive
voc4cat:0007793]]</f>
        <v>0</v>
      </c>
      <c r="Y57" s="7">
        <f>Tabelle25[[#This Row],[additive
dct:identifier
SMILES, InChi or InChiKey]]</f>
        <v>0</v>
      </c>
      <c r="Z57" s="7">
        <f>Tabelle25[[#This Row],[Additive amount
voc4cat:sample mass
voc4cat:0007038]]</f>
        <v>0</v>
      </c>
      <c r="AA57" s="7">
        <f>Tabelle25[[#This Row],[Metal]]</f>
        <v>0</v>
      </c>
      <c r="AB57" s="7">
        <f>Tabelle25[[#This Row],[Metal loading, nominal (wt%)
voc4cat:0007815]]</f>
        <v>0</v>
      </c>
      <c r="AC57" s="7">
        <f>Tabelle25[[#This Row],[molar ratio metal additive]]</f>
        <v>0</v>
      </c>
      <c r="AD57" s="7">
        <f>Tabelle25[[#This Row],[molar ratio metal metal]]</f>
        <v>0</v>
      </c>
    </row>
    <row r="58" spans="1:30" ht="18" customHeight="1">
      <c r="A58" s="7">
        <f>Tabelle25[[#This Row],[institution
voc4cat:0007842]]</f>
        <v>0</v>
      </c>
      <c r="B58" s="7">
        <f>Tabelle25[[#This Row],[catalyst barcode  
(barcode: AFO_/result'#AFR:0002690)]]</f>
        <v>0</v>
      </c>
      <c r="C58" s="7">
        <f>Tabelle25[[#This Row],[identifier  
dct]]</f>
        <v>0</v>
      </c>
      <c r="D58" s="7">
        <f>Tabelle25[[#This Row],[catalyst
voc4cat:0007014]]</f>
        <v>0</v>
      </c>
      <c r="E58" s="7">
        <f>Tabelle25[[#This Row],[Name
dct:title]]</f>
        <v>0</v>
      </c>
      <c r="F58" s="7">
        <f>Tabelle25[[#This Row],[Preparation method
voc4cat:0007016]]</f>
        <v>0</v>
      </c>
      <c r="G58" s="7">
        <f>Tabelle25[[#This Row],[Support  
voc4cat:0007825]]</f>
        <v>0</v>
      </c>
      <c r="H58" s="7">
        <f>Tabelle25[[#This Row],[Support Barcode
(barcode: AFO_/result'#AFR:0002690)]]</f>
        <v>0</v>
      </c>
      <c r="I58" s="7">
        <f>Tabelle25[[#This Row],[Support identifier
dct]]</f>
        <v>0</v>
      </c>
      <c r="J58" s="7">
        <f>Tabelle25[[#This Row],[Support shape]]</f>
        <v>0</v>
      </c>
      <c r="K58" s="7">
        <f>Tabelle25[[#This Row],[Support Pretreatment
voc4cat:sample pretreatment voc4cat:0000123]]</f>
        <v>0</v>
      </c>
      <c r="L58" s="7">
        <f>Tabelle25[[#This Row],[Precursor 1 
precursor: voc4cat:0007794]]</f>
        <v>0</v>
      </c>
      <c r="M58" s="7">
        <f>Tabelle25[[#This Row],[Precursor 1 
dct:identifier
SMILES, InChi or InChiKey]]</f>
        <v>0</v>
      </c>
      <c r="N58" s="7">
        <f>Tabelle25[[#This Row],[Precursor 1 amount
voc4cat:sample mass
voc4cat:0007038]]</f>
        <v>0</v>
      </c>
      <c r="O58" s="7">
        <f>Tabelle25[[#This Row],[Precursor 2 
precursor: voc4cat:0007794]]</f>
        <v>0</v>
      </c>
      <c r="P58" s="7">
        <f>Tabelle25[[#This Row],[Precursor 2 
dct:identifier
SMILES, InChi or InChiKey]]</f>
        <v>0</v>
      </c>
      <c r="Q58" s="7">
        <f>Tabelle25[[#This Row],[Precursor 2 amount
voc4cat:sample mass
voc4cat:0007038]]</f>
        <v>0</v>
      </c>
      <c r="R58" s="7">
        <f>Tabelle25[[#This Row],[Precursor 3 
precursor: voc4cat:0007794]]</f>
        <v>0</v>
      </c>
      <c r="S58" s="7">
        <f>Tabelle25[[#This Row],[Precursor 3 
dct:identifier
SMILES, InChi or InChiKey]]</f>
        <v>0</v>
      </c>
      <c r="T58" s="7">
        <f>Tabelle25[[#This Row],[Precursor 3 amount
voc4cat:sample mass
voc4cat:0007038]]</f>
        <v>0</v>
      </c>
      <c r="U58" s="7">
        <f>Tabelle25[[#This Row],[Precursor 4 
precursor: voc4cat:0007794]]</f>
        <v>0</v>
      </c>
      <c r="V58" s="7">
        <f>Tabelle25[[#This Row],[Precursor 4 
dct:identifier
SMILES, InChi or InChiKey]]</f>
        <v>0</v>
      </c>
      <c r="W58" s="7">
        <f>Tabelle25[[#This Row],[Precursor 4 amount
voc4cat:sample mass
voc4cat:0007038]]</f>
        <v>0</v>
      </c>
      <c r="X58" s="7">
        <f>Tabelle25[[#This Row],[additive
voc4cat:0007793]]</f>
        <v>0</v>
      </c>
      <c r="Y58" s="7">
        <f>Tabelle25[[#This Row],[additive
dct:identifier
SMILES, InChi or InChiKey]]</f>
        <v>0</v>
      </c>
      <c r="Z58" s="7">
        <f>Tabelle25[[#This Row],[Additive amount
voc4cat:sample mass
voc4cat:0007038]]</f>
        <v>0</v>
      </c>
      <c r="AA58" s="7">
        <f>Tabelle25[[#This Row],[Metal]]</f>
        <v>0</v>
      </c>
      <c r="AB58" s="7">
        <f>Tabelle25[[#This Row],[Metal loading, nominal (wt%)
voc4cat:0007815]]</f>
        <v>0</v>
      </c>
      <c r="AC58" s="7">
        <f>Tabelle25[[#This Row],[molar ratio metal additive]]</f>
        <v>0</v>
      </c>
      <c r="AD58" s="7">
        <f>Tabelle25[[#This Row],[molar ratio metal metal]]</f>
        <v>0</v>
      </c>
    </row>
    <row r="59" spans="1:30" ht="18" customHeight="1">
      <c r="A59" s="7">
        <f>Tabelle25[[#This Row],[institution
voc4cat:0007842]]</f>
        <v>0</v>
      </c>
      <c r="B59" s="7">
        <f>Tabelle25[[#This Row],[catalyst barcode  
(barcode: AFO_/result'#AFR:0002690)]]</f>
        <v>0</v>
      </c>
      <c r="C59" s="7">
        <f>Tabelle25[[#This Row],[identifier  
dct]]</f>
        <v>0</v>
      </c>
      <c r="D59" s="7">
        <f>Tabelle25[[#This Row],[catalyst
voc4cat:0007014]]</f>
        <v>0</v>
      </c>
      <c r="E59" s="7">
        <f>Tabelle25[[#This Row],[Name
dct:title]]</f>
        <v>0</v>
      </c>
      <c r="F59" s="7">
        <f>Tabelle25[[#This Row],[Preparation method
voc4cat:0007016]]</f>
        <v>0</v>
      </c>
      <c r="G59" s="7">
        <f>Tabelle25[[#This Row],[Support  
voc4cat:0007825]]</f>
        <v>0</v>
      </c>
      <c r="H59" s="7">
        <f>Tabelle25[[#This Row],[Support Barcode
(barcode: AFO_/result'#AFR:0002690)]]</f>
        <v>0</v>
      </c>
      <c r="I59" s="7">
        <f>Tabelle25[[#This Row],[Support identifier
dct]]</f>
        <v>0</v>
      </c>
      <c r="J59" s="7">
        <f>Tabelle25[[#This Row],[Support shape]]</f>
        <v>0</v>
      </c>
      <c r="K59" s="7">
        <f>Tabelle25[[#This Row],[Support Pretreatment
voc4cat:sample pretreatment voc4cat:0000123]]</f>
        <v>0</v>
      </c>
      <c r="L59" s="7">
        <f>Tabelle25[[#This Row],[Precursor 1 
precursor: voc4cat:0007794]]</f>
        <v>0</v>
      </c>
      <c r="M59" s="7">
        <f>Tabelle25[[#This Row],[Precursor 1 
dct:identifier
SMILES, InChi or InChiKey]]</f>
        <v>0</v>
      </c>
      <c r="N59" s="7">
        <f>Tabelle25[[#This Row],[Precursor 1 amount
voc4cat:sample mass
voc4cat:0007038]]</f>
        <v>0</v>
      </c>
      <c r="O59" s="7">
        <f>Tabelle25[[#This Row],[Precursor 2 
precursor: voc4cat:0007794]]</f>
        <v>0</v>
      </c>
      <c r="P59" s="7">
        <f>Tabelle25[[#This Row],[Precursor 2 
dct:identifier
SMILES, InChi or InChiKey]]</f>
        <v>0</v>
      </c>
      <c r="Q59" s="7">
        <f>Tabelle25[[#This Row],[Precursor 2 amount
voc4cat:sample mass
voc4cat:0007038]]</f>
        <v>0</v>
      </c>
      <c r="R59" s="7">
        <f>Tabelle25[[#This Row],[Precursor 3 
precursor: voc4cat:0007794]]</f>
        <v>0</v>
      </c>
      <c r="S59" s="7">
        <f>Tabelle25[[#This Row],[Precursor 3 
dct:identifier
SMILES, InChi or InChiKey]]</f>
        <v>0</v>
      </c>
      <c r="T59" s="7">
        <f>Tabelle25[[#This Row],[Precursor 3 amount
voc4cat:sample mass
voc4cat:0007038]]</f>
        <v>0</v>
      </c>
      <c r="U59" s="7">
        <f>Tabelle25[[#This Row],[Precursor 4 
precursor: voc4cat:0007794]]</f>
        <v>0</v>
      </c>
      <c r="V59" s="7">
        <f>Tabelle25[[#This Row],[Precursor 4 
dct:identifier
SMILES, InChi or InChiKey]]</f>
        <v>0</v>
      </c>
      <c r="W59" s="7">
        <f>Tabelle25[[#This Row],[Precursor 4 amount
voc4cat:sample mass
voc4cat:0007038]]</f>
        <v>0</v>
      </c>
      <c r="X59" s="7">
        <f>Tabelle25[[#This Row],[additive
voc4cat:0007793]]</f>
        <v>0</v>
      </c>
      <c r="Y59" s="7">
        <f>Tabelle25[[#This Row],[additive
dct:identifier
SMILES, InChi or InChiKey]]</f>
        <v>0</v>
      </c>
      <c r="Z59" s="7">
        <f>Tabelle25[[#This Row],[Additive amount
voc4cat:sample mass
voc4cat:0007038]]</f>
        <v>0</v>
      </c>
      <c r="AA59" s="7">
        <f>Tabelle25[[#This Row],[Metal]]</f>
        <v>0</v>
      </c>
      <c r="AB59" s="7">
        <f>Tabelle25[[#This Row],[Metal loading, nominal (wt%)
voc4cat:0007815]]</f>
        <v>0</v>
      </c>
      <c r="AC59" s="7">
        <f>Tabelle25[[#This Row],[molar ratio metal additive]]</f>
        <v>0</v>
      </c>
      <c r="AD59" s="7">
        <f>Tabelle25[[#This Row],[molar ratio metal metal]]</f>
        <v>0</v>
      </c>
    </row>
    <row r="60" spans="1:30" ht="18" customHeight="1">
      <c r="A60" s="7">
        <f>Tabelle25[[#This Row],[institution
voc4cat:0007842]]</f>
        <v>0</v>
      </c>
      <c r="B60" s="7">
        <f>Tabelle25[[#This Row],[catalyst barcode  
(barcode: AFO_/result'#AFR:0002690)]]</f>
        <v>0</v>
      </c>
      <c r="C60" s="7">
        <f>Tabelle25[[#This Row],[identifier  
dct]]</f>
        <v>0</v>
      </c>
      <c r="D60" s="7">
        <f>Tabelle25[[#This Row],[catalyst
voc4cat:0007014]]</f>
        <v>0</v>
      </c>
      <c r="E60" s="7">
        <f>Tabelle25[[#This Row],[Name
dct:title]]</f>
        <v>0</v>
      </c>
      <c r="F60" s="7">
        <f>Tabelle25[[#This Row],[Preparation method
voc4cat:0007016]]</f>
        <v>0</v>
      </c>
      <c r="G60" s="7">
        <f>Tabelle25[[#This Row],[Support  
voc4cat:0007825]]</f>
        <v>0</v>
      </c>
      <c r="H60" s="7">
        <f>Tabelle25[[#This Row],[Support Barcode
(barcode: AFO_/result'#AFR:0002690)]]</f>
        <v>0</v>
      </c>
      <c r="I60" s="7">
        <f>Tabelle25[[#This Row],[Support identifier
dct]]</f>
        <v>0</v>
      </c>
      <c r="J60" s="7">
        <f>Tabelle25[[#This Row],[Support shape]]</f>
        <v>0</v>
      </c>
      <c r="K60" s="7">
        <f>Tabelle25[[#This Row],[Support Pretreatment
voc4cat:sample pretreatment voc4cat:0000123]]</f>
        <v>0</v>
      </c>
      <c r="L60" s="7">
        <f>Tabelle25[[#This Row],[Precursor 1 
precursor: voc4cat:0007794]]</f>
        <v>0</v>
      </c>
      <c r="M60" s="7">
        <f>Tabelle25[[#This Row],[Precursor 1 
dct:identifier
SMILES, InChi or InChiKey]]</f>
        <v>0</v>
      </c>
      <c r="N60" s="7">
        <f>Tabelle25[[#This Row],[Precursor 1 amount
voc4cat:sample mass
voc4cat:0007038]]</f>
        <v>0</v>
      </c>
      <c r="O60" s="7">
        <f>Tabelle25[[#This Row],[Precursor 2 
precursor: voc4cat:0007794]]</f>
        <v>0</v>
      </c>
      <c r="P60" s="7">
        <f>Tabelle25[[#This Row],[Precursor 2 
dct:identifier
SMILES, InChi or InChiKey]]</f>
        <v>0</v>
      </c>
      <c r="Q60" s="7">
        <f>Tabelle25[[#This Row],[Precursor 2 amount
voc4cat:sample mass
voc4cat:0007038]]</f>
        <v>0</v>
      </c>
      <c r="R60" s="7">
        <f>Tabelle25[[#This Row],[Precursor 3 
precursor: voc4cat:0007794]]</f>
        <v>0</v>
      </c>
      <c r="S60" s="7">
        <f>Tabelle25[[#This Row],[Precursor 3 
dct:identifier
SMILES, InChi or InChiKey]]</f>
        <v>0</v>
      </c>
      <c r="T60" s="7">
        <f>Tabelle25[[#This Row],[Precursor 3 amount
voc4cat:sample mass
voc4cat:0007038]]</f>
        <v>0</v>
      </c>
      <c r="U60" s="7">
        <f>Tabelle25[[#This Row],[Precursor 4 
precursor: voc4cat:0007794]]</f>
        <v>0</v>
      </c>
      <c r="V60" s="7">
        <f>Tabelle25[[#This Row],[Precursor 4 
dct:identifier
SMILES, InChi or InChiKey]]</f>
        <v>0</v>
      </c>
      <c r="W60" s="7">
        <f>Tabelle25[[#This Row],[Precursor 4 amount
voc4cat:sample mass
voc4cat:0007038]]</f>
        <v>0</v>
      </c>
      <c r="X60" s="7">
        <f>Tabelle25[[#This Row],[additive
voc4cat:0007793]]</f>
        <v>0</v>
      </c>
      <c r="Y60" s="7">
        <f>Tabelle25[[#This Row],[additive
dct:identifier
SMILES, InChi or InChiKey]]</f>
        <v>0</v>
      </c>
      <c r="Z60" s="7">
        <f>Tabelle25[[#This Row],[Additive amount
voc4cat:sample mass
voc4cat:0007038]]</f>
        <v>0</v>
      </c>
      <c r="AA60" s="7">
        <f>Tabelle25[[#This Row],[Metal]]</f>
        <v>0</v>
      </c>
      <c r="AB60" s="7">
        <f>Tabelle25[[#This Row],[Metal loading, nominal (wt%)
voc4cat:0007815]]</f>
        <v>0</v>
      </c>
      <c r="AC60" s="7">
        <f>Tabelle25[[#This Row],[molar ratio metal additive]]</f>
        <v>0</v>
      </c>
      <c r="AD60" s="7">
        <f>Tabelle25[[#This Row],[molar ratio metal metal]]</f>
        <v>0</v>
      </c>
    </row>
    <row r="61" spans="1:30" ht="18" customHeight="1">
      <c r="A61" s="7">
        <f>Tabelle25[[#This Row],[institution
voc4cat:0007842]]</f>
        <v>0</v>
      </c>
      <c r="B61" s="7">
        <f>Tabelle25[[#This Row],[catalyst barcode  
(barcode: AFO_/result'#AFR:0002690)]]</f>
        <v>0</v>
      </c>
      <c r="C61" s="7">
        <f>Tabelle25[[#This Row],[identifier  
dct]]</f>
        <v>0</v>
      </c>
      <c r="D61" s="7">
        <f>Tabelle25[[#This Row],[catalyst
voc4cat:0007014]]</f>
        <v>0</v>
      </c>
      <c r="E61" s="7">
        <f>Tabelle25[[#This Row],[Name
dct:title]]</f>
        <v>0</v>
      </c>
      <c r="F61" s="7">
        <f>Tabelle25[[#This Row],[Preparation method
voc4cat:0007016]]</f>
        <v>0</v>
      </c>
      <c r="G61" s="7">
        <f>Tabelle25[[#This Row],[Support  
voc4cat:0007825]]</f>
        <v>0</v>
      </c>
      <c r="H61" s="7">
        <f>Tabelle25[[#This Row],[Support Barcode
(barcode: AFO_/result'#AFR:0002690)]]</f>
        <v>0</v>
      </c>
      <c r="I61" s="7">
        <f>Tabelle25[[#This Row],[Support identifier
dct]]</f>
        <v>0</v>
      </c>
      <c r="J61" s="7">
        <f>Tabelle25[[#This Row],[Support shape]]</f>
        <v>0</v>
      </c>
      <c r="K61" s="7">
        <f>Tabelle25[[#This Row],[Support Pretreatment
voc4cat:sample pretreatment voc4cat:0000123]]</f>
        <v>0</v>
      </c>
      <c r="L61" s="7">
        <f>Tabelle25[[#This Row],[Precursor 1 
precursor: voc4cat:0007794]]</f>
        <v>0</v>
      </c>
      <c r="M61" s="7">
        <f>Tabelle25[[#This Row],[Precursor 1 
dct:identifier
SMILES, InChi or InChiKey]]</f>
        <v>0</v>
      </c>
      <c r="N61" s="7">
        <f>Tabelle25[[#This Row],[Precursor 1 amount
voc4cat:sample mass
voc4cat:0007038]]</f>
        <v>0</v>
      </c>
      <c r="O61" s="7">
        <f>Tabelle25[[#This Row],[Precursor 2 
precursor: voc4cat:0007794]]</f>
        <v>0</v>
      </c>
      <c r="P61" s="7">
        <f>Tabelle25[[#This Row],[Precursor 2 
dct:identifier
SMILES, InChi or InChiKey]]</f>
        <v>0</v>
      </c>
      <c r="Q61" s="7">
        <f>Tabelle25[[#This Row],[Precursor 2 amount
voc4cat:sample mass
voc4cat:0007038]]</f>
        <v>0</v>
      </c>
      <c r="R61" s="7">
        <f>Tabelle25[[#This Row],[Precursor 3 
precursor: voc4cat:0007794]]</f>
        <v>0</v>
      </c>
      <c r="S61" s="7">
        <f>Tabelle25[[#This Row],[Precursor 3 
dct:identifier
SMILES, InChi or InChiKey]]</f>
        <v>0</v>
      </c>
      <c r="T61" s="7">
        <f>Tabelle25[[#This Row],[Precursor 3 amount
voc4cat:sample mass
voc4cat:0007038]]</f>
        <v>0</v>
      </c>
      <c r="U61" s="7">
        <f>Tabelle25[[#This Row],[Precursor 4 
precursor: voc4cat:0007794]]</f>
        <v>0</v>
      </c>
      <c r="V61" s="7">
        <f>Tabelle25[[#This Row],[Precursor 4 
dct:identifier
SMILES, InChi or InChiKey]]</f>
        <v>0</v>
      </c>
      <c r="W61" s="7">
        <f>Tabelle25[[#This Row],[Precursor 4 amount
voc4cat:sample mass
voc4cat:0007038]]</f>
        <v>0</v>
      </c>
      <c r="X61" s="7">
        <f>Tabelle25[[#This Row],[additive
voc4cat:0007793]]</f>
        <v>0</v>
      </c>
      <c r="Y61" s="7">
        <f>Tabelle25[[#This Row],[additive
dct:identifier
SMILES, InChi or InChiKey]]</f>
        <v>0</v>
      </c>
      <c r="Z61" s="7">
        <f>Tabelle25[[#This Row],[Additive amount
voc4cat:sample mass
voc4cat:0007038]]</f>
        <v>0</v>
      </c>
      <c r="AA61" s="7">
        <f>Tabelle25[[#This Row],[Metal]]</f>
        <v>0</v>
      </c>
      <c r="AB61" s="7">
        <f>Tabelle25[[#This Row],[Metal loading, nominal (wt%)
voc4cat:0007815]]</f>
        <v>0</v>
      </c>
      <c r="AC61" s="7">
        <f>Tabelle25[[#This Row],[molar ratio metal additive]]</f>
        <v>0</v>
      </c>
      <c r="AD61" s="7">
        <f>Tabelle25[[#This Row],[molar ratio metal metal]]</f>
        <v>0</v>
      </c>
    </row>
    <row r="62" spans="1:30" ht="18" customHeight="1">
      <c r="A62" s="7">
        <f>Tabelle25[[#This Row],[institution
voc4cat:0007842]]</f>
        <v>0</v>
      </c>
      <c r="B62" s="7">
        <f>Tabelle25[[#This Row],[catalyst barcode  
(barcode: AFO_/result'#AFR:0002690)]]</f>
        <v>0</v>
      </c>
      <c r="C62" s="7">
        <f>Tabelle25[[#This Row],[identifier  
dct]]</f>
        <v>0</v>
      </c>
      <c r="D62" s="7">
        <f>Tabelle25[[#This Row],[catalyst
voc4cat:0007014]]</f>
        <v>0</v>
      </c>
      <c r="E62" s="7">
        <f>Tabelle25[[#This Row],[Name
dct:title]]</f>
        <v>0</v>
      </c>
      <c r="F62" s="7">
        <f>Tabelle25[[#This Row],[Preparation method
voc4cat:0007016]]</f>
        <v>0</v>
      </c>
      <c r="G62" s="7">
        <f>Tabelle25[[#This Row],[Support  
voc4cat:0007825]]</f>
        <v>0</v>
      </c>
      <c r="H62" s="7">
        <f>Tabelle25[[#This Row],[Support Barcode
(barcode: AFO_/result'#AFR:0002690)]]</f>
        <v>0</v>
      </c>
      <c r="I62" s="7">
        <f>Tabelle25[[#This Row],[Support identifier
dct]]</f>
        <v>0</v>
      </c>
      <c r="J62" s="7">
        <f>Tabelle25[[#This Row],[Support shape]]</f>
        <v>0</v>
      </c>
      <c r="K62" s="7">
        <f>Tabelle25[[#This Row],[Support Pretreatment
voc4cat:sample pretreatment voc4cat:0000123]]</f>
        <v>0</v>
      </c>
      <c r="L62" s="7">
        <f>Tabelle25[[#This Row],[Precursor 1 
precursor: voc4cat:0007794]]</f>
        <v>0</v>
      </c>
      <c r="M62" s="7">
        <f>Tabelle25[[#This Row],[Precursor 1 
dct:identifier
SMILES, InChi or InChiKey]]</f>
        <v>0</v>
      </c>
      <c r="N62" s="7">
        <f>Tabelle25[[#This Row],[Precursor 1 amount
voc4cat:sample mass
voc4cat:0007038]]</f>
        <v>0</v>
      </c>
      <c r="O62" s="7">
        <f>Tabelle25[[#This Row],[Precursor 2 
precursor: voc4cat:0007794]]</f>
        <v>0</v>
      </c>
      <c r="P62" s="7">
        <f>Tabelle25[[#This Row],[Precursor 2 
dct:identifier
SMILES, InChi or InChiKey]]</f>
        <v>0</v>
      </c>
      <c r="Q62" s="7">
        <f>Tabelle25[[#This Row],[Precursor 2 amount
voc4cat:sample mass
voc4cat:0007038]]</f>
        <v>0</v>
      </c>
      <c r="R62" s="7">
        <f>Tabelle25[[#This Row],[Precursor 3 
precursor: voc4cat:0007794]]</f>
        <v>0</v>
      </c>
      <c r="S62" s="7">
        <f>Tabelle25[[#This Row],[Precursor 3 
dct:identifier
SMILES, InChi or InChiKey]]</f>
        <v>0</v>
      </c>
      <c r="T62" s="7">
        <f>Tabelle25[[#This Row],[Precursor 3 amount
voc4cat:sample mass
voc4cat:0007038]]</f>
        <v>0</v>
      </c>
      <c r="U62" s="7">
        <f>Tabelle25[[#This Row],[Precursor 4 
precursor: voc4cat:0007794]]</f>
        <v>0</v>
      </c>
      <c r="V62" s="7">
        <f>Tabelle25[[#This Row],[Precursor 4 
dct:identifier
SMILES, InChi or InChiKey]]</f>
        <v>0</v>
      </c>
      <c r="W62" s="7">
        <f>Tabelle25[[#This Row],[Precursor 4 amount
voc4cat:sample mass
voc4cat:0007038]]</f>
        <v>0</v>
      </c>
      <c r="X62" s="7">
        <f>Tabelle25[[#This Row],[additive
voc4cat:0007793]]</f>
        <v>0</v>
      </c>
      <c r="Y62" s="7">
        <f>Tabelle25[[#This Row],[additive
dct:identifier
SMILES, InChi or InChiKey]]</f>
        <v>0</v>
      </c>
      <c r="Z62" s="7">
        <f>Tabelle25[[#This Row],[Additive amount
voc4cat:sample mass
voc4cat:0007038]]</f>
        <v>0</v>
      </c>
      <c r="AA62" s="7">
        <f>Tabelle25[[#This Row],[Metal]]</f>
        <v>0</v>
      </c>
      <c r="AB62" s="7">
        <f>Tabelle25[[#This Row],[Metal loading, nominal (wt%)
voc4cat:0007815]]</f>
        <v>0</v>
      </c>
      <c r="AC62" s="7">
        <f>Tabelle25[[#This Row],[molar ratio metal additive]]</f>
        <v>0</v>
      </c>
      <c r="AD62" s="7">
        <f>Tabelle25[[#This Row],[molar ratio metal metal]]</f>
        <v>0</v>
      </c>
    </row>
    <row r="63" spans="1:30" ht="18" customHeight="1">
      <c r="A63" s="7">
        <f>Tabelle25[[#This Row],[institution
voc4cat:0007842]]</f>
        <v>0</v>
      </c>
      <c r="B63" s="7">
        <f>Tabelle25[[#This Row],[catalyst barcode  
(barcode: AFO_/result'#AFR:0002690)]]</f>
        <v>0</v>
      </c>
      <c r="C63" s="7">
        <f>Tabelle25[[#This Row],[identifier  
dct]]</f>
        <v>0</v>
      </c>
      <c r="D63" s="7">
        <f>Tabelle25[[#This Row],[catalyst
voc4cat:0007014]]</f>
        <v>0</v>
      </c>
      <c r="E63" s="7">
        <f>Tabelle25[[#This Row],[Name
dct:title]]</f>
        <v>0</v>
      </c>
      <c r="F63" s="7">
        <f>Tabelle25[[#This Row],[Preparation method
voc4cat:0007016]]</f>
        <v>0</v>
      </c>
      <c r="G63" s="7">
        <f>Tabelle25[[#This Row],[Support  
voc4cat:0007825]]</f>
        <v>0</v>
      </c>
      <c r="H63" s="7">
        <f>Tabelle25[[#This Row],[Support Barcode
(barcode: AFO_/result'#AFR:0002690)]]</f>
        <v>0</v>
      </c>
      <c r="I63" s="7">
        <f>Tabelle25[[#This Row],[Support identifier
dct]]</f>
        <v>0</v>
      </c>
      <c r="J63" s="7">
        <f>Tabelle25[[#This Row],[Support shape]]</f>
        <v>0</v>
      </c>
      <c r="K63" s="7">
        <f>Tabelle25[[#This Row],[Support Pretreatment
voc4cat:sample pretreatment voc4cat:0000123]]</f>
        <v>0</v>
      </c>
      <c r="L63" s="7">
        <f>Tabelle25[[#This Row],[Precursor 1 
precursor: voc4cat:0007794]]</f>
        <v>0</v>
      </c>
      <c r="M63" s="7">
        <f>Tabelle25[[#This Row],[Precursor 1 
dct:identifier
SMILES, InChi or InChiKey]]</f>
        <v>0</v>
      </c>
      <c r="N63" s="7">
        <f>Tabelle25[[#This Row],[Precursor 1 amount
voc4cat:sample mass
voc4cat:0007038]]</f>
        <v>0</v>
      </c>
      <c r="O63" s="7">
        <f>Tabelle25[[#This Row],[Precursor 2 
precursor: voc4cat:0007794]]</f>
        <v>0</v>
      </c>
      <c r="P63" s="7">
        <f>Tabelle25[[#This Row],[Precursor 2 
dct:identifier
SMILES, InChi or InChiKey]]</f>
        <v>0</v>
      </c>
      <c r="Q63" s="7">
        <f>Tabelle25[[#This Row],[Precursor 2 amount
voc4cat:sample mass
voc4cat:0007038]]</f>
        <v>0</v>
      </c>
      <c r="R63" s="7">
        <f>Tabelle25[[#This Row],[Precursor 3 
precursor: voc4cat:0007794]]</f>
        <v>0</v>
      </c>
      <c r="S63" s="7">
        <f>Tabelle25[[#This Row],[Precursor 3 
dct:identifier
SMILES, InChi or InChiKey]]</f>
        <v>0</v>
      </c>
      <c r="T63" s="7">
        <f>Tabelle25[[#This Row],[Precursor 3 amount
voc4cat:sample mass
voc4cat:0007038]]</f>
        <v>0</v>
      </c>
      <c r="U63" s="7">
        <f>Tabelle25[[#This Row],[Precursor 4 
precursor: voc4cat:0007794]]</f>
        <v>0</v>
      </c>
      <c r="V63" s="7">
        <f>Tabelle25[[#This Row],[Precursor 4 
dct:identifier
SMILES, InChi or InChiKey]]</f>
        <v>0</v>
      </c>
      <c r="W63" s="7">
        <f>Tabelle25[[#This Row],[Precursor 4 amount
voc4cat:sample mass
voc4cat:0007038]]</f>
        <v>0</v>
      </c>
      <c r="X63" s="7">
        <f>Tabelle25[[#This Row],[additive
voc4cat:0007793]]</f>
        <v>0</v>
      </c>
      <c r="Y63" s="7">
        <f>Tabelle25[[#This Row],[additive
dct:identifier
SMILES, InChi or InChiKey]]</f>
        <v>0</v>
      </c>
      <c r="Z63" s="7">
        <f>Tabelle25[[#This Row],[Additive amount
voc4cat:sample mass
voc4cat:0007038]]</f>
        <v>0</v>
      </c>
      <c r="AA63" s="7">
        <f>Tabelle25[[#This Row],[Metal]]</f>
        <v>0</v>
      </c>
      <c r="AB63" s="7">
        <f>Tabelle25[[#This Row],[Metal loading, nominal (wt%)
voc4cat:0007815]]</f>
        <v>0</v>
      </c>
      <c r="AC63" s="7">
        <f>Tabelle25[[#This Row],[molar ratio metal additive]]</f>
        <v>0</v>
      </c>
      <c r="AD63" s="7">
        <f>Tabelle25[[#This Row],[molar ratio metal metal]]</f>
        <v>0</v>
      </c>
    </row>
    <row r="64" spans="1:30" ht="18" customHeight="1">
      <c r="A64" s="7">
        <f>Tabelle25[[#This Row],[institution
voc4cat:0007842]]</f>
        <v>0</v>
      </c>
      <c r="B64" s="7">
        <f>Tabelle25[[#This Row],[catalyst barcode  
(barcode: AFO_/result'#AFR:0002690)]]</f>
        <v>0</v>
      </c>
      <c r="C64" s="7">
        <f>Tabelle25[[#This Row],[identifier  
dct]]</f>
        <v>0</v>
      </c>
      <c r="D64" s="7">
        <f>Tabelle25[[#This Row],[catalyst
voc4cat:0007014]]</f>
        <v>0</v>
      </c>
      <c r="E64" s="7">
        <f>Tabelle25[[#This Row],[Name
dct:title]]</f>
        <v>0</v>
      </c>
      <c r="F64" s="7">
        <f>Tabelle25[[#This Row],[Preparation method
voc4cat:0007016]]</f>
        <v>0</v>
      </c>
      <c r="G64" s="7">
        <f>Tabelle25[[#This Row],[Support  
voc4cat:0007825]]</f>
        <v>0</v>
      </c>
      <c r="H64" s="7">
        <f>Tabelle25[[#This Row],[Support Barcode
(barcode: AFO_/result'#AFR:0002690)]]</f>
        <v>0</v>
      </c>
      <c r="I64" s="7">
        <f>Tabelle25[[#This Row],[Support identifier
dct]]</f>
        <v>0</v>
      </c>
      <c r="J64" s="7">
        <f>Tabelle25[[#This Row],[Support shape]]</f>
        <v>0</v>
      </c>
      <c r="K64" s="7">
        <f>Tabelle25[[#This Row],[Support Pretreatment
voc4cat:sample pretreatment voc4cat:0000123]]</f>
        <v>0</v>
      </c>
      <c r="L64" s="7">
        <f>Tabelle25[[#This Row],[Precursor 1 
precursor: voc4cat:0007794]]</f>
        <v>0</v>
      </c>
      <c r="M64" s="7">
        <f>Tabelle25[[#This Row],[Precursor 1 
dct:identifier
SMILES, InChi or InChiKey]]</f>
        <v>0</v>
      </c>
      <c r="N64" s="7">
        <f>Tabelle25[[#This Row],[Precursor 1 amount
voc4cat:sample mass
voc4cat:0007038]]</f>
        <v>0</v>
      </c>
      <c r="O64" s="7">
        <f>Tabelle25[[#This Row],[Precursor 2 
precursor: voc4cat:0007794]]</f>
        <v>0</v>
      </c>
      <c r="P64" s="7">
        <f>Tabelle25[[#This Row],[Precursor 2 
dct:identifier
SMILES, InChi or InChiKey]]</f>
        <v>0</v>
      </c>
      <c r="Q64" s="7">
        <f>Tabelle25[[#This Row],[Precursor 2 amount
voc4cat:sample mass
voc4cat:0007038]]</f>
        <v>0</v>
      </c>
      <c r="R64" s="7">
        <f>Tabelle25[[#This Row],[Precursor 3 
precursor: voc4cat:0007794]]</f>
        <v>0</v>
      </c>
      <c r="S64" s="7">
        <f>Tabelle25[[#This Row],[Precursor 3 
dct:identifier
SMILES, InChi or InChiKey]]</f>
        <v>0</v>
      </c>
      <c r="T64" s="7">
        <f>Tabelle25[[#This Row],[Precursor 3 amount
voc4cat:sample mass
voc4cat:0007038]]</f>
        <v>0</v>
      </c>
      <c r="U64" s="7">
        <f>Tabelle25[[#This Row],[Precursor 4 
precursor: voc4cat:0007794]]</f>
        <v>0</v>
      </c>
      <c r="V64" s="7">
        <f>Tabelle25[[#This Row],[Precursor 4 
dct:identifier
SMILES, InChi or InChiKey]]</f>
        <v>0</v>
      </c>
      <c r="W64" s="7">
        <f>Tabelle25[[#This Row],[Precursor 4 amount
voc4cat:sample mass
voc4cat:0007038]]</f>
        <v>0</v>
      </c>
      <c r="X64" s="7">
        <f>Tabelle25[[#This Row],[additive
voc4cat:0007793]]</f>
        <v>0</v>
      </c>
      <c r="Y64" s="7">
        <f>Tabelle25[[#This Row],[additive
dct:identifier
SMILES, InChi or InChiKey]]</f>
        <v>0</v>
      </c>
      <c r="Z64" s="7">
        <f>Tabelle25[[#This Row],[Additive amount
voc4cat:sample mass
voc4cat:0007038]]</f>
        <v>0</v>
      </c>
      <c r="AA64" s="7">
        <f>Tabelle25[[#This Row],[Metal]]</f>
        <v>0</v>
      </c>
      <c r="AB64" s="7">
        <f>Tabelle25[[#This Row],[Metal loading, nominal (wt%)
voc4cat:0007815]]</f>
        <v>0</v>
      </c>
      <c r="AC64" s="7">
        <f>Tabelle25[[#This Row],[molar ratio metal additive]]</f>
        <v>0</v>
      </c>
      <c r="AD64" s="7">
        <f>Tabelle25[[#This Row],[molar ratio metal metal]]</f>
        <v>0</v>
      </c>
    </row>
    <row r="65" spans="1:30" ht="18" customHeight="1">
      <c r="A65" s="7">
        <f>Tabelle25[[#This Row],[institution
voc4cat:0007842]]</f>
        <v>0</v>
      </c>
      <c r="B65" s="7">
        <f>Tabelle25[[#This Row],[catalyst barcode  
(barcode: AFO_/result'#AFR:0002690)]]</f>
        <v>0</v>
      </c>
      <c r="C65" s="7">
        <f>Tabelle25[[#This Row],[identifier  
dct]]</f>
        <v>0</v>
      </c>
      <c r="D65" s="7">
        <f>Tabelle25[[#This Row],[catalyst
voc4cat:0007014]]</f>
        <v>0</v>
      </c>
      <c r="E65" s="7">
        <f>Tabelle25[[#This Row],[Name
dct:title]]</f>
        <v>0</v>
      </c>
      <c r="F65" s="7">
        <f>Tabelle25[[#This Row],[Preparation method
voc4cat:0007016]]</f>
        <v>0</v>
      </c>
      <c r="G65" s="7">
        <f>Tabelle25[[#This Row],[Support  
voc4cat:0007825]]</f>
        <v>0</v>
      </c>
      <c r="H65" s="7">
        <f>Tabelle25[[#This Row],[Support Barcode
(barcode: AFO_/result'#AFR:0002690)]]</f>
        <v>0</v>
      </c>
      <c r="I65" s="7">
        <f>Tabelle25[[#This Row],[Support identifier
dct]]</f>
        <v>0</v>
      </c>
      <c r="J65" s="7">
        <f>Tabelle25[[#This Row],[Support shape]]</f>
        <v>0</v>
      </c>
      <c r="K65" s="7">
        <f>Tabelle25[[#This Row],[Support Pretreatment
voc4cat:sample pretreatment voc4cat:0000123]]</f>
        <v>0</v>
      </c>
      <c r="L65" s="7">
        <f>Tabelle25[[#This Row],[Precursor 1 
precursor: voc4cat:0007794]]</f>
        <v>0</v>
      </c>
      <c r="M65" s="7">
        <f>Tabelle25[[#This Row],[Precursor 1 
dct:identifier
SMILES, InChi or InChiKey]]</f>
        <v>0</v>
      </c>
      <c r="N65" s="7">
        <f>Tabelle25[[#This Row],[Precursor 1 amount
voc4cat:sample mass
voc4cat:0007038]]</f>
        <v>0</v>
      </c>
      <c r="O65" s="7">
        <f>Tabelle25[[#This Row],[Precursor 2 
precursor: voc4cat:0007794]]</f>
        <v>0</v>
      </c>
      <c r="P65" s="7">
        <f>Tabelle25[[#This Row],[Precursor 2 
dct:identifier
SMILES, InChi or InChiKey]]</f>
        <v>0</v>
      </c>
      <c r="Q65" s="7">
        <f>Tabelle25[[#This Row],[Precursor 2 amount
voc4cat:sample mass
voc4cat:0007038]]</f>
        <v>0</v>
      </c>
      <c r="R65" s="7">
        <f>Tabelle25[[#This Row],[Precursor 3 
precursor: voc4cat:0007794]]</f>
        <v>0</v>
      </c>
      <c r="S65" s="7">
        <f>Tabelle25[[#This Row],[Precursor 3 
dct:identifier
SMILES, InChi or InChiKey]]</f>
        <v>0</v>
      </c>
      <c r="T65" s="7">
        <f>Tabelle25[[#This Row],[Precursor 3 amount
voc4cat:sample mass
voc4cat:0007038]]</f>
        <v>0</v>
      </c>
      <c r="U65" s="7">
        <f>Tabelle25[[#This Row],[Precursor 4 
precursor: voc4cat:0007794]]</f>
        <v>0</v>
      </c>
      <c r="V65" s="7">
        <f>Tabelle25[[#This Row],[Precursor 4 
dct:identifier
SMILES, InChi or InChiKey]]</f>
        <v>0</v>
      </c>
      <c r="W65" s="7">
        <f>Tabelle25[[#This Row],[Precursor 4 amount
voc4cat:sample mass
voc4cat:0007038]]</f>
        <v>0</v>
      </c>
      <c r="X65" s="7">
        <f>Tabelle25[[#This Row],[additive
voc4cat:0007793]]</f>
        <v>0</v>
      </c>
      <c r="Y65" s="7">
        <f>Tabelle25[[#This Row],[additive
dct:identifier
SMILES, InChi or InChiKey]]</f>
        <v>0</v>
      </c>
      <c r="Z65" s="7">
        <f>Tabelle25[[#This Row],[Additive amount
voc4cat:sample mass
voc4cat:0007038]]</f>
        <v>0</v>
      </c>
      <c r="AA65" s="7">
        <f>Tabelle25[[#This Row],[Metal]]</f>
        <v>0</v>
      </c>
      <c r="AB65" s="7">
        <f>Tabelle25[[#This Row],[Metal loading, nominal (wt%)
voc4cat:0007815]]</f>
        <v>0</v>
      </c>
      <c r="AC65" s="7">
        <f>Tabelle25[[#This Row],[molar ratio metal additive]]</f>
        <v>0</v>
      </c>
      <c r="AD65" s="7">
        <f>Tabelle25[[#This Row],[molar ratio metal metal]]</f>
        <v>0</v>
      </c>
    </row>
    <row r="66" spans="1:30" ht="18" customHeight="1">
      <c r="A66" s="7">
        <f>Tabelle25[[#This Row],[institution
voc4cat:0007842]]</f>
        <v>0</v>
      </c>
      <c r="B66" s="7">
        <f>Tabelle25[[#This Row],[catalyst barcode  
(barcode: AFO_/result'#AFR:0002690)]]</f>
        <v>0</v>
      </c>
      <c r="C66" s="7">
        <f>Tabelle25[[#This Row],[identifier  
dct]]</f>
        <v>0</v>
      </c>
      <c r="D66" s="7">
        <f>Tabelle25[[#This Row],[catalyst
voc4cat:0007014]]</f>
        <v>0</v>
      </c>
      <c r="E66" s="7">
        <f>Tabelle25[[#This Row],[Name
dct:title]]</f>
        <v>0</v>
      </c>
      <c r="F66" s="7">
        <f>Tabelle25[[#This Row],[Preparation method
voc4cat:0007016]]</f>
        <v>0</v>
      </c>
      <c r="G66" s="7">
        <f>Tabelle25[[#This Row],[Support  
voc4cat:0007825]]</f>
        <v>0</v>
      </c>
      <c r="H66" s="7">
        <f>Tabelle25[[#This Row],[Support Barcode
(barcode: AFO_/result'#AFR:0002690)]]</f>
        <v>0</v>
      </c>
      <c r="I66" s="7">
        <f>Tabelle25[[#This Row],[Support identifier
dct]]</f>
        <v>0</v>
      </c>
      <c r="J66" s="7">
        <f>Tabelle25[[#This Row],[Support shape]]</f>
        <v>0</v>
      </c>
      <c r="K66" s="7">
        <f>Tabelle25[[#This Row],[Support Pretreatment
voc4cat:sample pretreatment voc4cat:0000123]]</f>
        <v>0</v>
      </c>
      <c r="L66" s="7">
        <f>Tabelle25[[#This Row],[Precursor 1 
precursor: voc4cat:0007794]]</f>
        <v>0</v>
      </c>
      <c r="M66" s="7">
        <f>Tabelle25[[#This Row],[Precursor 1 
dct:identifier
SMILES, InChi or InChiKey]]</f>
        <v>0</v>
      </c>
      <c r="N66" s="7">
        <f>Tabelle25[[#This Row],[Precursor 1 amount
voc4cat:sample mass
voc4cat:0007038]]</f>
        <v>0</v>
      </c>
      <c r="O66" s="7">
        <f>Tabelle25[[#This Row],[Precursor 2 
precursor: voc4cat:0007794]]</f>
        <v>0</v>
      </c>
      <c r="P66" s="7">
        <f>Tabelle25[[#This Row],[Precursor 2 
dct:identifier
SMILES, InChi or InChiKey]]</f>
        <v>0</v>
      </c>
      <c r="Q66" s="7">
        <f>Tabelle25[[#This Row],[Precursor 2 amount
voc4cat:sample mass
voc4cat:0007038]]</f>
        <v>0</v>
      </c>
      <c r="R66" s="7">
        <f>Tabelle25[[#This Row],[Precursor 3 
precursor: voc4cat:0007794]]</f>
        <v>0</v>
      </c>
      <c r="S66" s="7">
        <f>Tabelle25[[#This Row],[Precursor 3 
dct:identifier
SMILES, InChi or InChiKey]]</f>
        <v>0</v>
      </c>
      <c r="T66" s="7">
        <f>Tabelle25[[#This Row],[Precursor 3 amount
voc4cat:sample mass
voc4cat:0007038]]</f>
        <v>0</v>
      </c>
      <c r="U66" s="7">
        <f>Tabelle25[[#This Row],[Precursor 4 
precursor: voc4cat:0007794]]</f>
        <v>0</v>
      </c>
      <c r="V66" s="7">
        <f>Tabelle25[[#This Row],[Precursor 4 
dct:identifier
SMILES, InChi or InChiKey]]</f>
        <v>0</v>
      </c>
      <c r="W66" s="7">
        <f>Tabelle25[[#This Row],[Precursor 4 amount
voc4cat:sample mass
voc4cat:0007038]]</f>
        <v>0</v>
      </c>
      <c r="X66" s="7">
        <f>Tabelle25[[#This Row],[additive
voc4cat:0007793]]</f>
        <v>0</v>
      </c>
      <c r="Y66" s="7">
        <f>Tabelle25[[#This Row],[additive
dct:identifier
SMILES, InChi or InChiKey]]</f>
        <v>0</v>
      </c>
      <c r="Z66" s="7">
        <f>Tabelle25[[#This Row],[Additive amount
voc4cat:sample mass
voc4cat:0007038]]</f>
        <v>0</v>
      </c>
      <c r="AA66" s="7">
        <f>Tabelle25[[#This Row],[Metal]]</f>
        <v>0</v>
      </c>
      <c r="AB66" s="7">
        <f>Tabelle25[[#This Row],[Metal loading, nominal (wt%)
voc4cat:0007815]]</f>
        <v>0</v>
      </c>
      <c r="AC66" s="7">
        <f>Tabelle25[[#This Row],[molar ratio metal additive]]</f>
        <v>0</v>
      </c>
      <c r="AD66" s="7">
        <f>Tabelle25[[#This Row],[molar ratio metal metal]]</f>
        <v>0</v>
      </c>
    </row>
    <row r="67" spans="1:30" ht="18" customHeight="1">
      <c r="A67" s="7">
        <f>Tabelle25[[#This Row],[institution
voc4cat:0007842]]</f>
        <v>0</v>
      </c>
      <c r="B67" s="7">
        <f>Tabelle25[[#This Row],[catalyst barcode  
(barcode: AFO_/result'#AFR:0002690)]]</f>
        <v>0</v>
      </c>
      <c r="C67" s="7">
        <f>Tabelle25[[#This Row],[identifier  
dct]]</f>
        <v>0</v>
      </c>
      <c r="D67" s="7">
        <f>Tabelle25[[#This Row],[catalyst
voc4cat:0007014]]</f>
        <v>0</v>
      </c>
      <c r="E67" s="7">
        <f>Tabelle25[[#This Row],[Name
dct:title]]</f>
        <v>0</v>
      </c>
      <c r="F67" s="7">
        <f>Tabelle25[[#This Row],[Preparation method
voc4cat:0007016]]</f>
        <v>0</v>
      </c>
      <c r="G67" s="7">
        <f>Tabelle25[[#This Row],[Support  
voc4cat:0007825]]</f>
        <v>0</v>
      </c>
      <c r="H67" s="7">
        <f>Tabelle25[[#This Row],[Support Barcode
(barcode: AFO_/result'#AFR:0002690)]]</f>
        <v>0</v>
      </c>
      <c r="I67" s="7">
        <f>Tabelle25[[#This Row],[Support identifier
dct]]</f>
        <v>0</v>
      </c>
      <c r="J67" s="7">
        <f>Tabelle25[[#This Row],[Support shape]]</f>
        <v>0</v>
      </c>
      <c r="K67" s="7">
        <f>Tabelle25[[#This Row],[Support Pretreatment
voc4cat:sample pretreatment voc4cat:0000123]]</f>
        <v>0</v>
      </c>
      <c r="L67" s="7">
        <f>Tabelle25[[#This Row],[Precursor 1 
precursor: voc4cat:0007794]]</f>
        <v>0</v>
      </c>
      <c r="M67" s="7">
        <f>Tabelle25[[#This Row],[Precursor 1 
dct:identifier
SMILES, InChi or InChiKey]]</f>
        <v>0</v>
      </c>
      <c r="N67" s="7">
        <f>Tabelle25[[#This Row],[Precursor 1 amount
voc4cat:sample mass
voc4cat:0007038]]</f>
        <v>0</v>
      </c>
      <c r="O67" s="7">
        <f>Tabelle25[[#This Row],[Precursor 2 
precursor: voc4cat:0007794]]</f>
        <v>0</v>
      </c>
      <c r="P67" s="7">
        <f>Tabelle25[[#This Row],[Precursor 2 
dct:identifier
SMILES, InChi or InChiKey]]</f>
        <v>0</v>
      </c>
      <c r="Q67" s="7">
        <f>Tabelle25[[#This Row],[Precursor 2 amount
voc4cat:sample mass
voc4cat:0007038]]</f>
        <v>0</v>
      </c>
      <c r="R67" s="7">
        <f>Tabelle25[[#This Row],[Precursor 3 
precursor: voc4cat:0007794]]</f>
        <v>0</v>
      </c>
      <c r="S67" s="7">
        <f>Tabelle25[[#This Row],[Precursor 3 
dct:identifier
SMILES, InChi or InChiKey]]</f>
        <v>0</v>
      </c>
      <c r="T67" s="7">
        <f>Tabelle25[[#This Row],[Precursor 3 amount
voc4cat:sample mass
voc4cat:0007038]]</f>
        <v>0</v>
      </c>
      <c r="U67" s="7">
        <f>Tabelle25[[#This Row],[Precursor 4 
precursor: voc4cat:0007794]]</f>
        <v>0</v>
      </c>
      <c r="V67" s="7">
        <f>Tabelle25[[#This Row],[Precursor 4 
dct:identifier
SMILES, InChi or InChiKey]]</f>
        <v>0</v>
      </c>
      <c r="W67" s="7">
        <f>Tabelle25[[#This Row],[Precursor 4 amount
voc4cat:sample mass
voc4cat:0007038]]</f>
        <v>0</v>
      </c>
      <c r="X67" s="7">
        <f>Tabelle25[[#This Row],[additive
voc4cat:0007793]]</f>
        <v>0</v>
      </c>
      <c r="Y67" s="7">
        <f>Tabelle25[[#This Row],[additive
dct:identifier
SMILES, InChi or InChiKey]]</f>
        <v>0</v>
      </c>
      <c r="Z67" s="7">
        <f>Tabelle25[[#This Row],[Additive amount
voc4cat:sample mass
voc4cat:0007038]]</f>
        <v>0</v>
      </c>
      <c r="AA67" s="7">
        <f>Tabelle25[[#This Row],[Metal]]</f>
        <v>0</v>
      </c>
      <c r="AB67" s="7">
        <f>Tabelle25[[#This Row],[Metal loading, nominal (wt%)
voc4cat:0007815]]</f>
        <v>0</v>
      </c>
      <c r="AC67" s="7">
        <f>Tabelle25[[#This Row],[molar ratio metal additive]]</f>
        <v>0</v>
      </c>
      <c r="AD67" s="7">
        <f>Tabelle25[[#This Row],[molar ratio metal metal]]</f>
        <v>0</v>
      </c>
    </row>
    <row r="68" spans="1:30" ht="18" customHeight="1">
      <c r="A68" s="7">
        <f>Tabelle25[[#This Row],[institution
voc4cat:0007842]]</f>
        <v>0</v>
      </c>
      <c r="B68" s="7">
        <f>Tabelle25[[#This Row],[catalyst barcode  
(barcode: AFO_/result'#AFR:0002690)]]</f>
        <v>0</v>
      </c>
      <c r="C68" s="7">
        <f>Tabelle25[[#This Row],[identifier  
dct]]</f>
        <v>0</v>
      </c>
      <c r="D68" s="7">
        <f>Tabelle25[[#This Row],[catalyst
voc4cat:0007014]]</f>
        <v>0</v>
      </c>
      <c r="E68" s="7">
        <f>Tabelle25[[#This Row],[Name
dct:title]]</f>
        <v>0</v>
      </c>
      <c r="F68" s="7">
        <f>Tabelle25[[#This Row],[Preparation method
voc4cat:0007016]]</f>
        <v>0</v>
      </c>
      <c r="G68" s="7">
        <f>Tabelle25[[#This Row],[Support  
voc4cat:0007825]]</f>
        <v>0</v>
      </c>
      <c r="H68" s="7">
        <f>Tabelle25[[#This Row],[Support Barcode
(barcode: AFO_/result'#AFR:0002690)]]</f>
        <v>0</v>
      </c>
      <c r="I68" s="7">
        <f>Tabelle25[[#This Row],[Support identifier
dct]]</f>
        <v>0</v>
      </c>
      <c r="J68" s="7">
        <f>Tabelle25[[#This Row],[Support shape]]</f>
        <v>0</v>
      </c>
      <c r="K68" s="7">
        <f>Tabelle25[[#This Row],[Support Pretreatment
voc4cat:sample pretreatment voc4cat:0000123]]</f>
        <v>0</v>
      </c>
      <c r="L68" s="7">
        <f>Tabelle25[[#This Row],[Precursor 1 
precursor: voc4cat:0007794]]</f>
        <v>0</v>
      </c>
      <c r="M68" s="7">
        <f>Tabelle25[[#This Row],[Precursor 1 
dct:identifier
SMILES, InChi or InChiKey]]</f>
        <v>0</v>
      </c>
      <c r="N68" s="7">
        <f>Tabelle25[[#This Row],[Precursor 1 amount
voc4cat:sample mass
voc4cat:0007038]]</f>
        <v>0</v>
      </c>
      <c r="O68" s="7">
        <f>Tabelle25[[#This Row],[Precursor 2 
precursor: voc4cat:0007794]]</f>
        <v>0</v>
      </c>
      <c r="P68" s="7">
        <f>Tabelle25[[#This Row],[Precursor 2 
dct:identifier
SMILES, InChi or InChiKey]]</f>
        <v>0</v>
      </c>
      <c r="Q68" s="7">
        <f>Tabelle25[[#This Row],[Precursor 2 amount
voc4cat:sample mass
voc4cat:0007038]]</f>
        <v>0</v>
      </c>
      <c r="R68" s="7">
        <f>Tabelle25[[#This Row],[Precursor 3 
precursor: voc4cat:0007794]]</f>
        <v>0</v>
      </c>
      <c r="S68" s="7">
        <f>Tabelle25[[#This Row],[Precursor 3 
dct:identifier
SMILES, InChi or InChiKey]]</f>
        <v>0</v>
      </c>
      <c r="T68" s="7">
        <f>Tabelle25[[#This Row],[Precursor 3 amount
voc4cat:sample mass
voc4cat:0007038]]</f>
        <v>0</v>
      </c>
      <c r="U68" s="7">
        <f>Tabelle25[[#This Row],[Precursor 4 
precursor: voc4cat:0007794]]</f>
        <v>0</v>
      </c>
      <c r="V68" s="7">
        <f>Tabelle25[[#This Row],[Precursor 4 
dct:identifier
SMILES, InChi or InChiKey]]</f>
        <v>0</v>
      </c>
      <c r="W68" s="7">
        <f>Tabelle25[[#This Row],[Precursor 4 amount
voc4cat:sample mass
voc4cat:0007038]]</f>
        <v>0</v>
      </c>
      <c r="X68" s="7">
        <f>Tabelle25[[#This Row],[additive
voc4cat:0007793]]</f>
        <v>0</v>
      </c>
      <c r="Y68" s="7">
        <f>Tabelle25[[#This Row],[additive
dct:identifier
SMILES, InChi or InChiKey]]</f>
        <v>0</v>
      </c>
      <c r="Z68" s="7">
        <f>Tabelle25[[#This Row],[Additive amount
voc4cat:sample mass
voc4cat:0007038]]</f>
        <v>0</v>
      </c>
      <c r="AA68" s="7">
        <f>Tabelle25[[#This Row],[Metal]]</f>
        <v>0</v>
      </c>
      <c r="AB68" s="7">
        <f>Tabelle25[[#This Row],[Metal loading, nominal (wt%)
voc4cat:0007815]]</f>
        <v>0</v>
      </c>
      <c r="AC68" s="7">
        <f>Tabelle25[[#This Row],[molar ratio metal additive]]</f>
        <v>0</v>
      </c>
      <c r="AD68" s="7">
        <f>Tabelle25[[#This Row],[molar ratio metal metal]]</f>
        <v>0</v>
      </c>
    </row>
    <row r="69" spans="1:30" ht="18" customHeight="1">
      <c r="A69" s="7">
        <f>Tabelle25[[#This Row],[institution
voc4cat:0007842]]</f>
        <v>0</v>
      </c>
      <c r="B69" s="7">
        <f>Tabelle25[[#This Row],[catalyst barcode  
(barcode: AFO_/result'#AFR:0002690)]]</f>
        <v>0</v>
      </c>
      <c r="C69" s="7">
        <f>Tabelle25[[#This Row],[identifier  
dct]]</f>
        <v>0</v>
      </c>
      <c r="D69" s="7">
        <f>Tabelle25[[#This Row],[catalyst
voc4cat:0007014]]</f>
        <v>0</v>
      </c>
      <c r="E69" s="7">
        <f>Tabelle25[[#This Row],[Name
dct:title]]</f>
        <v>0</v>
      </c>
      <c r="F69" s="7">
        <f>Tabelle25[[#This Row],[Preparation method
voc4cat:0007016]]</f>
        <v>0</v>
      </c>
      <c r="G69" s="7">
        <f>Tabelle25[[#This Row],[Support  
voc4cat:0007825]]</f>
        <v>0</v>
      </c>
      <c r="H69" s="7">
        <f>Tabelle25[[#This Row],[Support Barcode
(barcode: AFO_/result'#AFR:0002690)]]</f>
        <v>0</v>
      </c>
      <c r="I69" s="7">
        <f>Tabelle25[[#This Row],[Support identifier
dct]]</f>
        <v>0</v>
      </c>
      <c r="J69" s="7">
        <f>Tabelle25[[#This Row],[Support shape]]</f>
        <v>0</v>
      </c>
      <c r="K69" s="7">
        <f>Tabelle25[[#This Row],[Support Pretreatment
voc4cat:sample pretreatment voc4cat:0000123]]</f>
        <v>0</v>
      </c>
      <c r="L69" s="7">
        <f>Tabelle25[[#This Row],[Precursor 1 
precursor: voc4cat:0007794]]</f>
        <v>0</v>
      </c>
      <c r="M69" s="7">
        <f>Tabelle25[[#This Row],[Precursor 1 
dct:identifier
SMILES, InChi or InChiKey]]</f>
        <v>0</v>
      </c>
      <c r="N69" s="7">
        <f>Tabelle25[[#This Row],[Precursor 1 amount
voc4cat:sample mass
voc4cat:0007038]]</f>
        <v>0</v>
      </c>
      <c r="O69" s="7">
        <f>Tabelle25[[#This Row],[Precursor 2 
precursor: voc4cat:0007794]]</f>
        <v>0</v>
      </c>
      <c r="P69" s="7">
        <f>Tabelle25[[#This Row],[Precursor 2 
dct:identifier
SMILES, InChi or InChiKey]]</f>
        <v>0</v>
      </c>
      <c r="Q69" s="7">
        <f>Tabelle25[[#This Row],[Precursor 2 amount
voc4cat:sample mass
voc4cat:0007038]]</f>
        <v>0</v>
      </c>
      <c r="R69" s="7">
        <f>Tabelle25[[#This Row],[Precursor 3 
precursor: voc4cat:0007794]]</f>
        <v>0</v>
      </c>
      <c r="S69" s="7">
        <f>Tabelle25[[#This Row],[Precursor 3 
dct:identifier
SMILES, InChi or InChiKey]]</f>
        <v>0</v>
      </c>
      <c r="T69" s="7">
        <f>Tabelle25[[#This Row],[Precursor 3 amount
voc4cat:sample mass
voc4cat:0007038]]</f>
        <v>0</v>
      </c>
      <c r="U69" s="7">
        <f>Tabelle25[[#This Row],[Precursor 4 
precursor: voc4cat:0007794]]</f>
        <v>0</v>
      </c>
      <c r="V69" s="7">
        <f>Tabelle25[[#This Row],[Precursor 4 
dct:identifier
SMILES, InChi or InChiKey]]</f>
        <v>0</v>
      </c>
      <c r="W69" s="7">
        <f>Tabelle25[[#This Row],[Precursor 4 amount
voc4cat:sample mass
voc4cat:0007038]]</f>
        <v>0</v>
      </c>
      <c r="X69" s="7">
        <f>Tabelle25[[#This Row],[additive
voc4cat:0007793]]</f>
        <v>0</v>
      </c>
      <c r="Y69" s="7">
        <f>Tabelle25[[#This Row],[additive
dct:identifier
SMILES, InChi or InChiKey]]</f>
        <v>0</v>
      </c>
      <c r="Z69" s="7">
        <f>Tabelle25[[#This Row],[Additive amount
voc4cat:sample mass
voc4cat:0007038]]</f>
        <v>0</v>
      </c>
      <c r="AA69" s="7">
        <f>Tabelle25[[#This Row],[Metal]]</f>
        <v>0</v>
      </c>
      <c r="AB69" s="7">
        <f>Tabelle25[[#This Row],[Metal loading, nominal (wt%)
voc4cat:0007815]]</f>
        <v>0</v>
      </c>
      <c r="AC69" s="7">
        <f>Tabelle25[[#This Row],[molar ratio metal additive]]</f>
        <v>0</v>
      </c>
      <c r="AD69" s="7">
        <f>Tabelle25[[#This Row],[molar ratio metal metal]]</f>
        <v>0</v>
      </c>
    </row>
    <row r="70" spans="1:30" ht="18" customHeight="1">
      <c r="A70" s="7">
        <f>Tabelle25[[#This Row],[institution
voc4cat:0007842]]</f>
        <v>0</v>
      </c>
      <c r="B70" s="7">
        <f>Tabelle25[[#This Row],[catalyst barcode  
(barcode: AFO_/result'#AFR:0002690)]]</f>
        <v>0</v>
      </c>
      <c r="C70" s="7">
        <f>Tabelle25[[#This Row],[identifier  
dct]]</f>
        <v>0</v>
      </c>
      <c r="D70" s="7">
        <f>Tabelle25[[#This Row],[catalyst
voc4cat:0007014]]</f>
        <v>0</v>
      </c>
      <c r="E70" s="7">
        <f>Tabelle25[[#This Row],[Name
dct:title]]</f>
        <v>0</v>
      </c>
      <c r="F70" s="7">
        <f>Tabelle25[[#This Row],[Preparation method
voc4cat:0007016]]</f>
        <v>0</v>
      </c>
      <c r="G70" s="7">
        <f>Tabelle25[[#This Row],[Support  
voc4cat:0007825]]</f>
        <v>0</v>
      </c>
      <c r="H70" s="7">
        <f>Tabelle25[[#This Row],[Support Barcode
(barcode: AFO_/result'#AFR:0002690)]]</f>
        <v>0</v>
      </c>
      <c r="I70" s="7">
        <f>Tabelle25[[#This Row],[Support identifier
dct]]</f>
        <v>0</v>
      </c>
      <c r="J70" s="7">
        <f>Tabelle25[[#This Row],[Support shape]]</f>
        <v>0</v>
      </c>
      <c r="K70" s="7">
        <f>Tabelle25[[#This Row],[Support Pretreatment
voc4cat:sample pretreatment voc4cat:0000123]]</f>
        <v>0</v>
      </c>
      <c r="L70" s="7">
        <f>Tabelle25[[#This Row],[Precursor 1 
precursor: voc4cat:0007794]]</f>
        <v>0</v>
      </c>
      <c r="M70" s="7">
        <f>Tabelle25[[#This Row],[Precursor 1 
dct:identifier
SMILES, InChi or InChiKey]]</f>
        <v>0</v>
      </c>
      <c r="N70" s="7">
        <f>Tabelle25[[#This Row],[Precursor 1 amount
voc4cat:sample mass
voc4cat:0007038]]</f>
        <v>0</v>
      </c>
      <c r="O70" s="7">
        <f>Tabelle25[[#This Row],[Precursor 2 
precursor: voc4cat:0007794]]</f>
        <v>0</v>
      </c>
      <c r="P70" s="7">
        <f>Tabelle25[[#This Row],[Precursor 2 
dct:identifier
SMILES, InChi or InChiKey]]</f>
        <v>0</v>
      </c>
      <c r="Q70" s="7">
        <f>Tabelle25[[#This Row],[Precursor 2 amount
voc4cat:sample mass
voc4cat:0007038]]</f>
        <v>0</v>
      </c>
      <c r="R70" s="7">
        <f>Tabelle25[[#This Row],[Precursor 3 
precursor: voc4cat:0007794]]</f>
        <v>0</v>
      </c>
      <c r="S70" s="7">
        <f>Tabelle25[[#This Row],[Precursor 3 
dct:identifier
SMILES, InChi or InChiKey]]</f>
        <v>0</v>
      </c>
      <c r="T70" s="7">
        <f>Tabelle25[[#This Row],[Precursor 3 amount
voc4cat:sample mass
voc4cat:0007038]]</f>
        <v>0</v>
      </c>
      <c r="U70" s="7">
        <f>Tabelle25[[#This Row],[Precursor 4 
precursor: voc4cat:0007794]]</f>
        <v>0</v>
      </c>
      <c r="V70" s="7">
        <f>Tabelle25[[#This Row],[Precursor 4 
dct:identifier
SMILES, InChi or InChiKey]]</f>
        <v>0</v>
      </c>
      <c r="W70" s="7">
        <f>Tabelle25[[#This Row],[Precursor 4 amount
voc4cat:sample mass
voc4cat:0007038]]</f>
        <v>0</v>
      </c>
      <c r="X70" s="7">
        <f>Tabelle25[[#This Row],[additive
voc4cat:0007793]]</f>
        <v>0</v>
      </c>
      <c r="Y70" s="7">
        <f>Tabelle25[[#This Row],[additive
dct:identifier
SMILES, InChi or InChiKey]]</f>
        <v>0</v>
      </c>
      <c r="Z70" s="7">
        <f>Tabelle25[[#This Row],[Additive amount
voc4cat:sample mass
voc4cat:0007038]]</f>
        <v>0</v>
      </c>
      <c r="AA70" s="7">
        <f>Tabelle25[[#This Row],[Metal]]</f>
        <v>0</v>
      </c>
      <c r="AB70" s="7">
        <f>Tabelle25[[#This Row],[Metal loading, nominal (wt%)
voc4cat:0007815]]</f>
        <v>0</v>
      </c>
      <c r="AC70" s="7">
        <f>Tabelle25[[#This Row],[molar ratio metal additive]]</f>
        <v>0</v>
      </c>
      <c r="AD70" s="7">
        <f>Tabelle25[[#This Row],[molar ratio metal metal]]</f>
        <v>0</v>
      </c>
    </row>
    <row r="71" spans="1:30" ht="18" customHeight="1">
      <c r="A71" s="7">
        <f>Tabelle25[[#This Row],[institution
voc4cat:0007842]]</f>
        <v>0</v>
      </c>
      <c r="B71" s="7">
        <f>Tabelle25[[#This Row],[catalyst barcode  
(barcode: AFO_/result'#AFR:0002690)]]</f>
        <v>0</v>
      </c>
      <c r="C71" s="7">
        <f>Tabelle25[[#This Row],[identifier  
dct]]</f>
        <v>0</v>
      </c>
      <c r="D71" s="7">
        <f>Tabelle25[[#This Row],[catalyst
voc4cat:0007014]]</f>
        <v>0</v>
      </c>
      <c r="E71" s="7">
        <f>Tabelle25[[#This Row],[Name
dct:title]]</f>
        <v>0</v>
      </c>
      <c r="F71" s="7">
        <f>Tabelle25[[#This Row],[Preparation method
voc4cat:0007016]]</f>
        <v>0</v>
      </c>
      <c r="G71" s="7">
        <f>Tabelle25[[#This Row],[Support  
voc4cat:0007825]]</f>
        <v>0</v>
      </c>
      <c r="H71" s="7">
        <f>Tabelle25[[#This Row],[Support Barcode
(barcode: AFO_/result'#AFR:0002690)]]</f>
        <v>0</v>
      </c>
      <c r="I71" s="7">
        <f>Tabelle25[[#This Row],[Support identifier
dct]]</f>
        <v>0</v>
      </c>
      <c r="J71" s="7">
        <f>Tabelle25[[#This Row],[Support shape]]</f>
        <v>0</v>
      </c>
      <c r="K71" s="7">
        <f>Tabelle25[[#This Row],[Support Pretreatment
voc4cat:sample pretreatment voc4cat:0000123]]</f>
        <v>0</v>
      </c>
      <c r="L71" s="7">
        <f>Tabelle25[[#This Row],[Precursor 1 
precursor: voc4cat:0007794]]</f>
        <v>0</v>
      </c>
      <c r="M71" s="7">
        <f>Tabelle25[[#This Row],[Precursor 1 
dct:identifier
SMILES, InChi or InChiKey]]</f>
        <v>0</v>
      </c>
      <c r="N71" s="7">
        <f>Tabelle25[[#This Row],[Precursor 1 amount
voc4cat:sample mass
voc4cat:0007038]]</f>
        <v>0</v>
      </c>
      <c r="O71" s="7">
        <f>Tabelle25[[#This Row],[Precursor 2 
precursor: voc4cat:0007794]]</f>
        <v>0</v>
      </c>
      <c r="P71" s="7">
        <f>Tabelle25[[#This Row],[Precursor 2 
dct:identifier
SMILES, InChi or InChiKey]]</f>
        <v>0</v>
      </c>
      <c r="Q71" s="7">
        <f>Tabelle25[[#This Row],[Precursor 2 amount
voc4cat:sample mass
voc4cat:0007038]]</f>
        <v>0</v>
      </c>
      <c r="R71" s="7">
        <f>Tabelle25[[#This Row],[Precursor 3 
precursor: voc4cat:0007794]]</f>
        <v>0</v>
      </c>
      <c r="S71" s="7">
        <f>Tabelle25[[#This Row],[Precursor 3 
dct:identifier
SMILES, InChi or InChiKey]]</f>
        <v>0</v>
      </c>
      <c r="T71" s="7">
        <f>Tabelle25[[#This Row],[Precursor 3 amount
voc4cat:sample mass
voc4cat:0007038]]</f>
        <v>0</v>
      </c>
      <c r="U71" s="7">
        <f>Tabelle25[[#This Row],[Precursor 4 
precursor: voc4cat:0007794]]</f>
        <v>0</v>
      </c>
      <c r="V71" s="7">
        <f>Tabelle25[[#This Row],[Precursor 4 
dct:identifier
SMILES, InChi or InChiKey]]</f>
        <v>0</v>
      </c>
      <c r="W71" s="7">
        <f>Tabelle25[[#This Row],[Precursor 4 amount
voc4cat:sample mass
voc4cat:0007038]]</f>
        <v>0</v>
      </c>
      <c r="X71" s="7">
        <f>Tabelle25[[#This Row],[additive
voc4cat:0007793]]</f>
        <v>0</v>
      </c>
      <c r="Y71" s="7">
        <f>Tabelle25[[#This Row],[additive
dct:identifier
SMILES, InChi or InChiKey]]</f>
        <v>0</v>
      </c>
      <c r="Z71" s="7">
        <f>Tabelle25[[#This Row],[Additive amount
voc4cat:sample mass
voc4cat:0007038]]</f>
        <v>0</v>
      </c>
      <c r="AA71" s="7">
        <f>Tabelle25[[#This Row],[Metal]]</f>
        <v>0</v>
      </c>
      <c r="AB71" s="7">
        <f>Tabelle25[[#This Row],[Metal loading, nominal (wt%)
voc4cat:0007815]]</f>
        <v>0</v>
      </c>
      <c r="AC71" s="7">
        <f>Tabelle25[[#This Row],[molar ratio metal additive]]</f>
        <v>0</v>
      </c>
      <c r="AD71" s="7">
        <f>Tabelle25[[#This Row],[molar ratio metal metal]]</f>
        <v>0</v>
      </c>
    </row>
    <row r="72" spans="1:30" ht="18" customHeight="1">
      <c r="A72" s="7">
        <f>Tabelle25[[#This Row],[institution
voc4cat:0007842]]</f>
        <v>0</v>
      </c>
      <c r="B72" s="7">
        <f>Tabelle25[[#This Row],[catalyst barcode  
(barcode: AFO_/result'#AFR:0002690)]]</f>
        <v>0</v>
      </c>
      <c r="C72" s="7">
        <f>Tabelle25[[#This Row],[identifier  
dct]]</f>
        <v>0</v>
      </c>
      <c r="D72" s="7">
        <f>Tabelle25[[#This Row],[catalyst
voc4cat:0007014]]</f>
        <v>0</v>
      </c>
      <c r="E72" s="7">
        <f>Tabelle25[[#This Row],[Name
dct:title]]</f>
        <v>0</v>
      </c>
      <c r="F72" s="7">
        <f>Tabelle25[[#This Row],[Preparation method
voc4cat:0007016]]</f>
        <v>0</v>
      </c>
      <c r="G72" s="7">
        <f>Tabelle25[[#This Row],[Support  
voc4cat:0007825]]</f>
        <v>0</v>
      </c>
      <c r="H72" s="7">
        <f>Tabelle25[[#This Row],[Support Barcode
(barcode: AFO_/result'#AFR:0002690)]]</f>
        <v>0</v>
      </c>
      <c r="I72" s="7">
        <f>Tabelle25[[#This Row],[Support identifier
dct]]</f>
        <v>0</v>
      </c>
      <c r="J72" s="7">
        <f>Tabelle25[[#This Row],[Support shape]]</f>
        <v>0</v>
      </c>
      <c r="K72" s="7">
        <f>Tabelle25[[#This Row],[Support Pretreatment
voc4cat:sample pretreatment voc4cat:0000123]]</f>
        <v>0</v>
      </c>
      <c r="L72" s="7">
        <f>Tabelle25[[#This Row],[Precursor 1 
precursor: voc4cat:0007794]]</f>
        <v>0</v>
      </c>
      <c r="M72" s="7">
        <f>Tabelle25[[#This Row],[Precursor 1 
dct:identifier
SMILES, InChi or InChiKey]]</f>
        <v>0</v>
      </c>
      <c r="N72" s="7">
        <f>Tabelle25[[#This Row],[Precursor 1 amount
voc4cat:sample mass
voc4cat:0007038]]</f>
        <v>0</v>
      </c>
      <c r="O72" s="7">
        <f>Tabelle25[[#This Row],[Precursor 2 
precursor: voc4cat:0007794]]</f>
        <v>0</v>
      </c>
      <c r="P72" s="7">
        <f>Tabelle25[[#This Row],[Precursor 2 
dct:identifier
SMILES, InChi or InChiKey]]</f>
        <v>0</v>
      </c>
      <c r="Q72" s="7">
        <f>Tabelle25[[#This Row],[Precursor 2 amount
voc4cat:sample mass
voc4cat:0007038]]</f>
        <v>0</v>
      </c>
      <c r="R72" s="7">
        <f>Tabelle25[[#This Row],[Precursor 3 
precursor: voc4cat:0007794]]</f>
        <v>0</v>
      </c>
      <c r="S72" s="7">
        <f>Tabelle25[[#This Row],[Precursor 3 
dct:identifier
SMILES, InChi or InChiKey]]</f>
        <v>0</v>
      </c>
      <c r="T72" s="7">
        <f>Tabelle25[[#This Row],[Precursor 3 amount
voc4cat:sample mass
voc4cat:0007038]]</f>
        <v>0</v>
      </c>
      <c r="U72" s="7">
        <f>Tabelle25[[#This Row],[Precursor 4 
precursor: voc4cat:0007794]]</f>
        <v>0</v>
      </c>
      <c r="V72" s="7">
        <f>Tabelle25[[#This Row],[Precursor 4 
dct:identifier
SMILES, InChi or InChiKey]]</f>
        <v>0</v>
      </c>
      <c r="W72" s="7">
        <f>Tabelle25[[#This Row],[Precursor 4 amount
voc4cat:sample mass
voc4cat:0007038]]</f>
        <v>0</v>
      </c>
      <c r="X72" s="7">
        <f>Tabelle25[[#This Row],[additive
voc4cat:0007793]]</f>
        <v>0</v>
      </c>
      <c r="Y72" s="7">
        <f>Tabelle25[[#This Row],[additive
dct:identifier
SMILES, InChi or InChiKey]]</f>
        <v>0</v>
      </c>
      <c r="Z72" s="7">
        <f>Tabelle25[[#This Row],[Additive amount
voc4cat:sample mass
voc4cat:0007038]]</f>
        <v>0</v>
      </c>
      <c r="AA72" s="7">
        <f>Tabelle25[[#This Row],[Metal]]</f>
        <v>0</v>
      </c>
      <c r="AB72" s="7">
        <f>Tabelle25[[#This Row],[Metal loading, nominal (wt%)
voc4cat:0007815]]</f>
        <v>0</v>
      </c>
      <c r="AC72" s="7">
        <f>Tabelle25[[#This Row],[molar ratio metal additive]]</f>
        <v>0</v>
      </c>
      <c r="AD72" s="7">
        <f>Tabelle25[[#This Row],[molar ratio metal metal]]</f>
        <v>0</v>
      </c>
    </row>
    <row r="73" spans="1:30" ht="15" customHeight="1">
      <c r="A73" s="7">
        <f>Tabelle25[[#This Row],[institution
voc4cat:0007842]]</f>
        <v>0</v>
      </c>
      <c r="B73" s="7">
        <f>Tabelle25[[#This Row],[catalyst barcode  
(barcode: AFO_/result'#AFR:0002690)]]</f>
        <v>0</v>
      </c>
      <c r="C73" s="7">
        <f>Tabelle25[[#This Row],[identifier  
dct]]</f>
        <v>0</v>
      </c>
      <c r="D73" s="7">
        <f>Tabelle25[[#This Row],[catalyst
voc4cat:0007014]]</f>
        <v>0</v>
      </c>
      <c r="E73" s="7">
        <f>Tabelle25[[#This Row],[Name
dct:title]]</f>
        <v>0</v>
      </c>
      <c r="F73" s="7">
        <f>Tabelle25[[#This Row],[Preparation method
voc4cat:0007016]]</f>
        <v>0</v>
      </c>
      <c r="G73" s="7">
        <f>Tabelle25[[#This Row],[Support  
voc4cat:0007825]]</f>
        <v>0</v>
      </c>
      <c r="H73" s="7">
        <f>Tabelle25[[#This Row],[Support Barcode
(barcode: AFO_/result'#AFR:0002690)]]</f>
        <v>0</v>
      </c>
      <c r="I73" s="7">
        <f>Tabelle25[[#This Row],[Support identifier
dct]]</f>
        <v>0</v>
      </c>
      <c r="J73" s="7">
        <f>Tabelle25[[#This Row],[Support shape]]</f>
        <v>0</v>
      </c>
      <c r="K73" s="7">
        <f>Tabelle25[[#This Row],[Support Pretreatment
voc4cat:sample pretreatment voc4cat:0000123]]</f>
        <v>0</v>
      </c>
      <c r="L73" s="7">
        <f>Tabelle25[[#This Row],[Precursor 1 
precursor: voc4cat:0007794]]</f>
        <v>0</v>
      </c>
      <c r="M73" s="7">
        <f>Tabelle25[[#This Row],[Precursor 1 
dct:identifier
SMILES, InChi or InChiKey]]</f>
        <v>0</v>
      </c>
      <c r="N73" s="7">
        <f>Tabelle25[[#This Row],[Precursor 1 amount
voc4cat:sample mass
voc4cat:0007038]]</f>
        <v>0</v>
      </c>
      <c r="O73" s="7">
        <f>Tabelle25[[#This Row],[Precursor 2 
precursor: voc4cat:0007794]]</f>
        <v>0</v>
      </c>
      <c r="P73" s="7">
        <f>Tabelle25[[#This Row],[Precursor 2 
dct:identifier
SMILES, InChi or InChiKey]]</f>
        <v>0</v>
      </c>
      <c r="Q73" s="7">
        <f>Tabelle25[[#This Row],[Precursor 2 amount
voc4cat:sample mass
voc4cat:0007038]]</f>
        <v>0</v>
      </c>
      <c r="R73" s="7">
        <f>Tabelle25[[#This Row],[Precursor 3 
precursor: voc4cat:0007794]]</f>
        <v>0</v>
      </c>
      <c r="S73" s="7">
        <f>Tabelle25[[#This Row],[Precursor 3 
dct:identifier
SMILES, InChi or InChiKey]]</f>
        <v>0</v>
      </c>
      <c r="T73" s="7">
        <f>Tabelle25[[#This Row],[Precursor 3 amount
voc4cat:sample mass
voc4cat:0007038]]</f>
        <v>0</v>
      </c>
      <c r="U73" s="7">
        <f>Tabelle25[[#This Row],[Precursor 4 
precursor: voc4cat:0007794]]</f>
        <v>0</v>
      </c>
      <c r="V73" s="7">
        <f>Tabelle25[[#This Row],[Precursor 4 
dct:identifier
SMILES, InChi or InChiKey]]</f>
        <v>0</v>
      </c>
      <c r="W73" s="7">
        <f>Tabelle25[[#This Row],[Precursor 4 amount
voc4cat:sample mass
voc4cat:0007038]]</f>
        <v>0</v>
      </c>
      <c r="X73" s="7">
        <f>Tabelle25[[#This Row],[additive
voc4cat:0007793]]</f>
        <v>0</v>
      </c>
      <c r="Y73" s="7">
        <f>Tabelle25[[#This Row],[additive
dct:identifier
SMILES, InChi or InChiKey]]</f>
        <v>0</v>
      </c>
      <c r="Z73" s="7">
        <f>Tabelle25[[#This Row],[Additive amount
voc4cat:sample mass
voc4cat:0007038]]</f>
        <v>0</v>
      </c>
      <c r="AA73" s="7">
        <f>Tabelle25[[#This Row],[Metal]]</f>
        <v>0</v>
      </c>
      <c r="AB73" s="7">
        <f>Tabelle25[[#This Row],[Metal loading, nominal (wt%)
voc4cat:0007815]]</f>
        <v>0</v>
      </c>
      <c r="AC73" s="7">
        <f>Tabelle25[[#This Row],[molar ratio metal additive]]</f>
        <v>0</v>
      </c>
      <c r="AD73" s="7">
        <f>Tabelle25[[#This Row],[molar ratio metal metal]]</f>
        <v>0</v>
      </c>
    </row>
    <row r="74" spans="1:30" ht="15" customHeight="1">
      <c r="A74" s="7">
        <f>Tabelle25[[#This Row],[institution
voc4cat:0007842]]</f>
        <v>0</v>
      </c>
      <c r="B74" s="7">
        <f>Tabelle25[[#This Row],[catalyst barcode  
(barcode: AFO_/result'#AFR:0002690)]]</f>
        <v>0</v>
      </c>
      <c r="C74" s="7">
        <f>Tabelle25[[#This Row],[identifier  
dct]]</f>
        <v>0</v>
      </c>
      <c r="D74" s="7">
        <f>Tabelle25[[#This Row],[catalyst
voc4cat:0007014]]</f>
        <v>0</v>
      </c>
      <c r="E74" s="7">
        <f>Tabelle25[[#This Row],[Name
dct:title]]</f>
        <v>0</v>
      </c>
      <c r="F74" s="7">
        <f>Tabelle25[[#This Row],[Preparation method
voc4cat:0007016]]</f>
        <v>0</v>
      </c>
      <c r="G74" s="7">
        <f>Tabelle25[[#This Row],[Support  
voc4cat:0007825]]</f>
        <v>0</v>
      </c>
      <c r="H74" s="7">
        <f>Tabelle25[[#This Row],[Support Barcode
(barcode: AFO_/result'#AFR:0002690)]]</f>
        <v>0</v>
      </c>
      <c r="I74" s="7">
        <f>Tabelle25[[#This Row],[Support identifier
dct]]</f>
        <v>0</v>
      </c>
      <c r="J74" s="7">
        <f>Tabelle25[[#This Row],[Support shape]]</f>
        <v>0</v>
      </c>
      <c r="K74" s="7">
        <f>Tabelle25[[#This Row],[Support Pretreatment
voc4cat:sample pretreatment voc4cat:0000123]]</f>
        <v>0</v>
      </c>
      <c r="L74" s="7">
        <f>Tabelle25[[#This Row],[Precursor 1 
precursor: voc4cat:0007794]]</f>
        <v>0</v>
      </c>
      <c r="M74" s="7">
        <f>Tabelle25[[#This Row],[Precursor 1 
dct:identifier
SMILES, InChi or InChiKey]]</f>
        <v>0</v>
      </c>
      <c r="N74" s="7">
        <f>Tabelle25[[#This Row],[Precursor 1 amount
voc4cat:sample mass
voc4cat:0007038]]</f>
        <v>0</v>
      </c>
      <c r="O74" s="7">
        <f>Tabelle25[[#This Row],[Precursor 2 
precursor: voc4cat:0007794]]</f>
        <v>0</v>
      </c>
      <c r="P74" s="7">
        <f>Tabelle25[[#This Row],[Precursor 2 
dct:identifier
SMILES, InChi or InChiKey]]</f>
        <v>0</v>
      </c>
      <c r="Q74" s="7">
        <f>Tabelle25[[#This Row],[Precursor 2 amount
voc4cat:sample mass
voc4cat:0007038]]</f>
        <v>0</v>
      </c>
      <c r="R74" s="7">
        <f>Tabelle25[[#This Row],[Precursor 3 
precursor: voc4cat:0007794]]</f>
        <v>0</v>
      </c>
      <c r="S74" s="7">
        <f>Tabelle25[[#This Row],[Precursor 3 
dct:identifier
SMILES, InChi or InChiKey]]</f>
        <v>0</v>
      </c>
      <c r="T74" s="7">
        <f>Tabelle25[[#This Row],[Precursor 3 amount
voc4cat:sample mass
voc4cat:0007038]]</f>
        <v>0</v>
      </c>
      <c r="U74" s="7">
        <f>Tabelle25[[#This Row],[Precursor 4 
precursor: voc4cat:0007794]]</f>
        <v>0</v>
      </c>
      <c r="V74" s="7">
        <f>Tabelle25[[#This Row],[Precursor 4 
dct:identifier
SMILES, InChi or InChiKey]]</f>
        <v>0</v>
      </c>
      <c r="W74" s="7">
        <f>Tabelle25[[#This Row],[Precursor 4 amount
voc4cat:sample mass
voc4cat:0007038]]</f>
        <v>0</v>
      </c>
      <c r="X74" s="7">
        <f>Tabelle25[[#This Row],[additive
voc4cat:0007793]]</f>
        <v>0</v>
      </c>
      <c r="Y74" s="7">
        <f>Tabelle25[[#This Row],[additive
dct:identifier
SMILES, InChi or InChiKey]]</f>
        <v>0</v>
      </c>
      <c r="Z74" s="7">
        <f>Tabelle25[[#This Row],[Additive amount
voc4cat:sample mass
voc4cat:0007038]]</f>
        <v>0</v>
      </c>
      <c r="AA74" s="7">
        <f>Tabelle25[[#This Row],[Metal]]</f>
        <v>0</v>
      </c>
      <c r="AB74" s="7">
        <f>Tabelle25[[#This Row],[Metal loading, nominal (wt%)
voc4cat:0007815]]</f>
        <v>0</v>
      </c>
      <c r="AC74" s="7">
        <f>Tabelle25[[#This Row],[molar ratio metal additive]]</f>
        <v>0</v>
      </c>
      <c r="AD74" s="7">
        <f>Tabelle25[[#This Row],[molar ratio metal metal]]</f>
        <v>0</v>
      </c>
    </row>
    <row r="75" spans="1:30" ht="15" customHeight="1">
      <c r="A75" s="7">
        <f>Tabelle25[[#This Row],[institution
voc4cat:0007842]]</f>
        <v>0</v>
      </c>
      <c r="B75" s="7">
        <f>Tabelle25[[#This Row],[catalyst barcode  
(barcode: AFO_/result'#AFR:0002690)]]</f>
        <v>0</v>
      </c>
      <c r="C75" s="7">
        <f>Tabelle25[[#This Row],[identifier  
dct]]</f>
        <v>0</v>
      </c>
      <c r="D75" s="7">
        <f>Tabelle25[[#This Row],[catalyst
voc4cat:0007014]]</f>
        <v>0</v>
      </c>
      <c r="E75" s="7">
        <f>Tabelle25[[#This Row],[Name
dct:title]]</f>
        <v>0</v>
      </c>
      <c r="F75" s="7">
        <f>Tabelle25[[#This Row],[Preparation method
voc4cat:0007016]]</f>
        <v>0</v>
      </c>
      <c r="G75" s="7">
        <f>Tabelle25[[#This Row],[Support  
voc4cat:0007825]]</f>
        <v>0</v>
      </c>
      <c r="H75" s="7">
        <f>Tabelle25[[#This Row],[Support Barcode
(barcode: AFO_/result'#AFR:0002690)]]</f>
        <v>0</v>
      </c>
      <c r="I75" s="7">
        <f>Tabelle25[[#This Row],[Support identifier
dct]]</f>
        <v>0</v>
      </c>
      <c r="J75" s="7">
        <f>Tabelle25[[#This Row],[Support shape]]</f>
        <v>0</v>
      </c>
      <c r="K75" s="7">
        <f>Tabelle25[[#This Row],[Support Pretreatment
voc4cat:sample pretreatment voc4cat:0000123]]</f>
        <v>0</v>
      </c>
      <c r="L75" s="7">
        <f>Tabelle25[[#This Row],[Precursor 1 
precursor: voc4cat:0007794]]</f>
        <v>0</v>
      </c>
      <c r="M75" s="7">
        <f>Tabelle25[[#This Row],[Precursor 1 
dct:identifier
SMILES, InChi or InChiKey]]</f>
        <v>0</v>
      </c>
      <c r="N75" s="7">
        <f>Tabelle25[[#This Row],[Precursor 1 amount
voc4cat:sample mass
voc4cat:0007038]]</f>
        <v>0</v>
      </c>
      <c r="O75" s="7">
        <f>Tabelle25[[#This Row],[Precursor 2 
precursor: voc4cat:0007794]]</f>
        <v>0</v>
      </c>
      <c r="P75" s="7">
        <f>Tabelle25[[#This Row],[Precursor 2 
dct:identifier
SMILES, InChi or InChiKey]]</f>
        <v>0</v>
      </c>
      <c r="Q75" s="7">
        <f>Tabelle25[[#This Row],[Precursor 2 amount
voc4cat:sample mass
voc4cat:0007038]]</f>
        <v>0</v>
      </c>
      <c r="R75" s="7">
        <f>Tabelle25[[#This Row],[Precursor 3 
precursor: voc4cat:0007794]]</f>
        <v>0</v>
      </c>
      <c r="S75" s="7">
        <f>Tabelle25[[#This Row],[Precursor 3 
dct:identifier
SMILES, InChi or InChiKey]]</f>
        <v>0</v>
      </c>
      <c r="T75" s="7">
        <f>Tabelle25[[#This Row],[Precursor 3 amount
voc4cat:sample mass
voc4cat:0007038]]</f>
        <v>0</v>
      </c>
      <c r="U75" s="7">
        <f>Tabelle25[[#This Row],[Precursor 4 
precursor: voc4cat:0007794]]</f>
        <v>0</v>
      </c>
      <c r="V75" s="7">
        <f>Tabelle25[[#This Row],[Precursor 4 
dct:identifier
SMILES, InChi or InChiKey]]</f>
        <v>0</v>
      </c>
      <c r="W75" s="7">
        <f>Tabelle25[[#This Row],[Precursor 4 amount
voc4cat:sample mass
voc4cat:0007038]]</f>
        <v>0</v>
      </c>
      <c r="X75" s="7">
        <f>Tabelle25[[#This Row],[additive
voc4cat:0007793]]</f>
        <v>0</v>
      </c>
      <c r="Y75" s="7">
        <f>Tabelle25[[#This Row],[additive
dct:identifier
SMILES, InChi or InChiKey]]</f>
        <v>0</v>
      </c>
      <c r="Z75" s="7">
        <f>Tabelle25[[#This Row],[Additive amount
voc4cat:sample mass
voc4cat:0007038]]</f>
        <v>0</v>
      </c>
      <c r="AA75" s="7">
        <f>Tabelle25[[#This Row],[Metal]]</f>
        <v>0</v>
      </c>
      <c r="AB75" s="7">
        <f>Tabelle25[[#This Row],[Metal loading, nominal (wt%)
voc4cat:0007815]]</f>
        <v>0</v>
      </c>
      <c r="AC75" s="7">
        <f>Tabelle25[[#This Row],[molar ratio metal additive]]</f>
        <v>0</v>
      </c>
      <c r="AD75" s="7">
        <f>Tabelle25[[#This Row],[molar ratio metal metal]]</f>
        <v>0</v>
      </c>
    </row>
    <row r="76" spans="1:30" ht="15" customHeight="1">
      <c r="A76" s="7">
        <f>Tabelle25[[#This Row],[institution
voc4cat:0007842]]</f>
        <v>0</v>
      </c>
      <c r="B76" s="7">
        <f>Tabelle25[[#This Row],[catalyst barcode  
(barcode: AFO_/result'#AFR:0002690)]]</f>
        <v>0</v>
      </c>
      <c r="C76" s="7">
        <f>Tabelle25[[#This Row],[identifier  
dct]]</f>
        <v>0</v>
      </c>
      <c r="D76" s="7">
        <f>Tabelle25[[#This Row],[catalyst
voc4cat:0007014]]</f>
        <v>0</v>
      </c>
      <c r="E76" s="7">
        <f>Tabelle25[[#This Row],[Name
dct:title]]</f>
        <v>0</v>
      </c>
      <c r="F76" s="7">
        <f>Tabelle25[[#This Row],[Preparation method
voc4cat:0007016]]</f>
        <v>0</v>
      </c>
      <c r="G76" s="7">
        <f>Tabelle25[[#This Row],[Support  
voc4cat:0007825]]</f>
        <v>0</v>
      </c>
      <c r="H76" s="7">
        <f>Tabelle25[[#This Row],[Support Barcode
(barcode: AFO_/result'#AFR:0002690)]]</f>
        <v>0</v>
      </c>
      <c r="I76" s="7">
        <f>Tabelle25[[#This Row],[Support identifier
dct]]</f>
        <v>0</v>
      </c>
      <c r="J76" s="7">
        <f>Tabelle25[[#This Row],[Support shape]]</f>
        <v>0</v>
      </c>
      <c r="K76" s="7">
        <f>Tabelle25[[#This Row],[Support Pretreatment
voc4cat:sample pretreatment voc4cat:0000123]]</f>
        <v>0</v>
      </c>
      <c r="L76" s="7">
        <f>Tabelle25[[#This Row],[Precursor 1 
precursor: voc4cat:0007794]]</f>
        <v>0</v>
      </c>
      <c r="M76" s="7">
        <f>Tabelle25[[#This Row],[Precursor 1 
dct:identifier
SMILES, InChi or InChiKey]]</f>
        <v>0</v>
      </c>
      <c r="N76" s="7">
        <f>Tabelle25[[#This Row],[Precursor 1 amount
voc4cat:sample mass
voc4cat:0007038]]</f>
        <v>0</v>
      </c>
      <c r="O76" s="7">
        <f>Tabelle25[[#This Row],[Precursor 2 
precursor: voc4cat:0007794]]</f>
        <v>0</v>
      </c>
      <c r="P76" s="7">
        <f>Tabelle25[[#This Row],[Precursor 2 
dct:identifier
SMILES, InChi or InChiKey]]</f>
        <v>0</v>
      </c>
      <c r="Q76" s="7">
        <f>Tabelle25[[#This Row],[Precursor 2 amount
voc4cat:sample mass
voc4cat:0007038]]</f>
        <v>0</v>
      </c>
      <c r="R76" s="7">
        <f>Tabelle25[[#This Row],[Precursor 3 
precursor: voc4cat:0007794]]</f>
        <v>0</v>
      </c>
      <c r="S76" s="7">
        <f>Tabelle25[[#This Row],[Precursor 3 
dct:identifier
SMILES, InChi or InChiKey]]</f>
        <v>0</v>
      </c>
      <c r="T76" s="7">
        <f>Tabelle25[[#This Row],[Precursor 3 amount
voc4cat:sample mass
voc4cat:0007038]]</f>
        <v>0</v>
      </c>
      <c r="U76" s="7">
        <f>Tabelle25[[#This Row],[Precursor 4 
precursor: voc4cat:0007794]]</f>
        <v>0</v>
      </c>
      <c r="V76" s="7">
        <f>Tabelle25[[#This Row],[Precursor 4 
dct:identifier
SMILES, InChi or InChiKey]]</f>
        <v>0</v>
      </c>
      <c r="W76" s="7">
        <f>Tabelle25[[#This Row],[Precursor 4 amount
voc4cat:sample mass
voc4cat:0007038]]</f>
        <v>0</v>
      </c>
      <c r="X76" s="7">
        <f>Tabelle25[[#This Row],[additive
voc4cat:0007793]]</f>
        <v>0</v>
      </c>
      <c r="Y76" s="7">
        <f>Tabelle25[[#This Row],[additive
dct:identifier
SMILES, InChi or InChiKey]]</f>
        <v>0</v>
      </c>
      <c r="Z76" s="7">
        <f>Tabelle25[[#This Row],[Additive amount
voc4cat:sample mass
voc4cat:0007038]]</f>
        <v>0</v>
      </c>
      <c r="AA76" s="7">
        <f>Tabelle25[[#This Row],[Metal]]</f>
        <v>0</v>
      </c>
      <c r="AB76" s="7">
        <f>Tabelle25[[#This Row],[Metal loading, nominal (wt%)
voc4cat:0007815]]</f>
        <v>0</v>
      </c>
      <c r="AC76" s="7">
        <f>Tabelle25[[#This Row],[molar ratio metal additive]]</f>
        <v>0</v>
      </c>
      <c r="AD76" s="7">
        <f>Tabelle25[[#This Row],[molar ratio metal metal]]</f>
        <v>0</v>
      </c>
    </row>
    <row r="77" spans="1:30" ht="15" customHeight="1">
      <c r="A77" s="7">
        <f>Tabelle25[[#This Row],[institution
voc4cat:0007842]]</f>
        <v>0</v>
      </c>
      <c r="B77" s="7">
        <f>Tabelle25[[#This Row],[catalyst barcode  
(barcode: AFO_/result'#AFR:0002690)]]</f>
        <v>0</v>
      </c>
      <c r="C77" s="7">
        <f>Tabelle25[[#This Row],[identifier  
dct]]</f>
        <v>0</v>
      </c>
      <c r="D77" s="7">
        <f>Tabelle25[[#This Row],[catalyst
voc4cat:0007014]]</f>
        <v>0</v>
      </c>
      <c r="E77" s="7">
        <f>Tabelle25[[#This Row],[Name
dct:title]]</f>
        <v>0</v>
      </c>
      <c r="F77" s="7">
        <f>Tabelle25[[#This Row],[Preparation method
voc4cat:0007016]]</f>
        <v>0</v>
      </c>
      <c r="G77" s="7">
        <f>Tabelle25[[#This Row],[Support  
voc4cat:0007825]]</f>
        <v>0</v>
      </c>
      <c r="H77" s="7">
        <f>Tabelle25[[#This Row],[Support Barcode
(barcode: AFO_/result'#AFR:0002690)]]</f>
        <v>0</v>
      </c>
      <c r="I77" s="7">
        <f>Tabelle25[[#This Row],[Support identifier
dct]]</f>
        <v>0</v>
      </c>
      <c r="J77" s="7">
        <f>Tabelle25[[#This Row],[Support shape]]</f>
        <v>0</v>
      </c>
      <c r="K77" s="7">
        <f>Tabelle25[[#This Row],[Support Pretreatment
voc4cat:sample pretreatment voc4cat:0000123]]</f>
        <v>0</v>
      </c>
      <c r="L77" s="7">
        <f>Tabelle25[[#This Row],[Precursor 1 
precursor: voc4cat:0007794]]</f>
        <v>0</v>
      </c>
      <c r="M77" s="7">
        <f>Tabelle25[[#This Row],[Precursor 1 
dct:identifier
SMILES, InChi or InChiKey]]</f>
        <v>0</v>
      </c>
      <c r="N77" s="7">
        <f>Tabelle25[[#This Row],[Precursor 1 amount
voc4cat:sample mass
voc4cat:0007038]]</f>
        <v>0</v>
      </c>
      <c r="O77" s="7">
        <f>Tabelle25[[#This Row],[Precursor 2 
precursor: voc4cat:0007794]]</f>
        <v>0</v>
      </c>
      <c r="P77" s="7">
        <f>Tabelle25[[#This Row],[Precursor 2 
dct:identifier
SMILES, InChi or InChiKey]]</f>
        <v>0</v>
      </c>
      <c r="Q77" s="7">
        <f>Tabelle25[[#This Row],[Precursor 2 amount
voc4cat:sample mass
voc4cat:0007038]]</f>
        <v>0</v>
      </c>
      <c r="R77" s="7">
        <f>Tabelle25[[#This Row],[Precursor 3 
precursor: voc4cat:0007794]]</f>
        <v>0</v>
      </c>
      <c r="S77" s="7">
        <f>Tabelle25[[#This Row],[Precursor 3 
dct:identifier
SMILES, InChi or InChiKey]]</f>
        <v>0</v>
      </c>
      <c r="T77" s="7">
        <f>Tabelle25[[#This Row],[Precursor 3 amount
voc4cat:sample mass
voc4cat:0007038]]</f>
        <v>0</v>
      </c>
      <c r="U77" s="7">
        <f>Tabelle25[[#This Row],[Precursor 4 
precursor: voc4cat:0007794]]</f>
        <v>0</v>
      </c>
      <c r="V77" s="7">
        <f>Tabelle25[[#This Row],[Precursor 4 
dct:identifier
SMILES, InChi or InChiKey]]</f>
        <v>0</v>
      </c>
      <c r="W77" s="7">
        <f>Tabelle25[[#This Row],[Precursor 4 amount
voc4cat:sample mass
voc4cat:0007038]]</f>
        <v>0</v>
      </c>
      <c r="X77" s="7">
        <f>Tabelle25[[#This Row],[additive
voc4cat:0007793]]</f>
        <v>0</v>
      </c>
      <c r="Y77" s="7">
        <f>Tabelle25[[#This Row],[additive
dct:identifier
SMILES, InChi or InChiKey]]</f>
        <v>0</v>
      </c>
      <c r="Z77" s="7">
        <f>Tabelle25[[#This Row],[Additive amount
voc4cat:sample mass
voc4cat:0007038]]</f>
        <v>0</v>
      </c>
      <c r="AA77" s="7">
        <f>Tabelle25[[#This Row],[Metal]]</f>
        <v>0</v>
      </c>
      <c r="AB77" s="7">
        <f>Tabelle25[[#This Row],[Metal loading, nominal (wt%)
voc4cat:0007815]]</f>
        <v>0</v>
      </c>
      <c r="AC77" s="7">
        <f>Tabelle25[[#This Row],[molar ratio metal additive]]</f>
        <v>0</v>
      </c>
      <c r="AD77" s="7">
        <f>Tabelle25[[#This Row],[molar ratio metal metal]]</f>
        <v>0</v>
      </c>
    </row>
    <row r="78" spans="1:30" ht="15" customHeight="1">
      <c r="A78" s="7">
        <f>Tabelle25[[#This Row],[institution
voc4cat:0007842]]</f>
        <v>0</v>
      </c>
      <c r="B78" s="7">
        <f>Tabelle25[[#This Row],[catalyst barcode  
(barcode: AFO_/result'#AFR:0002690)]]</f>
        <v>0</v>
      </c>
      <c r="C78" s="7">
        <f>Tabelle25[[#This Row],[identifier  
dct]]</f>
        <v>0</v>
      </c>
      <c r="D78" s="7">
        <f>Tabelle25[[#This Row],[catalyst
voc4cat:0007014]]</f>
        <v>0</v>
      </c>
      <c r="E78" s="7">
        <f>Tabelle25[[#This Row],[Name
dct:title]]</f>
        <v>0</v>
      </c>
      <c r="F78" s="7">
        <f>Tabelle25[[#This Row],[Preparation method
voc4cat:0007016]]</f>
        <v>0</v>
      </c>
      <c r="G78" s="7">
        <f>Tabelle25[[#This Row],[Support  
voc4cat:0007825]]</f>
        <v>0</v>
      </c>
      <c r="H78" s="7">
        <f>Tabelle25[[#This Row],[Support Barcode
(barcode: AFO_/result'#AFR:0002690)]]</f>
        <v>0</v>
      </c>
      <c r="I78" s="7">
        <f>Tabelle25[[#This Row],[Support identifier
dct]]</f>
        <v>0</v>
      </c>
      <c r="J78" s="7">
        <f>Tabelle25[[#This Row],[Support shape]]</f>
        <v>0</v>
      </c>
      <c r="K78" s="7">
        <f>Tabelle25[[#This Row],[Support Pretreatment
voc4cat:sample pretreatment voc4cat:0000123]]</f>
        <v>0</v>
      </c>
      <c r="L78" s="7">
        <f>Tabelle25[[#This Row],[Precursor 1 
precursor: voc4cat:0007794]]</f>
        <v>0</v>
      </c>
      <c r="M78" s="7">
        <f>Tabelle25[[#This Row],[Precursor 1 
dct:identifier
SMILES, InChi or InChiKey]]</f>
        <v>0</v>
      </c>
      <c r="N78" s="7">
        <f>Tabelle25[[#This Row],[Precursor 1 amount
voc4cat:sample mass
voc4cat:0007038]]</f>
        <v>0</v>
      </c>
      <c r="O78" s="7">
        <f>Tabelle25[[#This Row],[Precursor 2 
precursor: voc4cat:0007794]]</f>
        <v>0</v>
      </c>
      <c r="P78" s="7">
        <f>Tabelle25[[#This Row],[Precursor 2 
dct:identifier
SMILES, InChi or InChiKey]]</f>
        <v>0</v>
      </c>
      <c r="Q78" s="7">
        <f>Tabelle25[[#This Row],[Precursor 2 amount
voc4cat:sample mass
voc4cat:0007038]]</f>
        <v>0</v>
      </c>
      <c r="R78" s="7">
        <f>Tabelle25[[#This Row],[Precursor 3 
precursor: voc4cat:0007794]]</f>
        <v>0</v>
      </c>
      <c r="S78" s="7">
        <f>Tabelle25[[#This Row],[Precursor 3 
dct:identifier
SMILES, InChi or InChiKey]]</f>
        <v>0</v>
      </c>
      <c r="T78" s="7">
        <f>Tabelle25[[#This Row],[Precursor 3 amount
voc4cat:sample mass
voc4cat:0007038]]</f>
        <v>0</v>
      </c>
      <c r="U78" s="7">
        <f>Tabelle25[[#This Row],[Precursor 4 
precursor: voc4cat:0007794]]</f>
        <v>0</v>
      </c>
      <c r="V78" s="7">
        <f>Tabelle25[[#This Row],[Precursor 4 
dct:identifier
SMILES, InChi or InChiKey]]</f>
        <v>0</v>
      </c>
      <c r="W78" s="7">
        <f>Tabelle25[[#This Row],[Precursor 4 amount
voc4cat:sample mass
voc4cat:0007038]]</f>
        <v>0</v>
      </c>
      <c r="X78" s="7">
        <f>Tabelle25[[#This Row],[additive
voc4cat:0007793]]</f>
        <v>0</v>
      </c>
      <c r="Y78" s="7">
        <f>Tabelle25[[#This Row],[additive
dct:identifier
SMILES, InChi or InChiKey]]</f>
        <v>0</v>
      </c>
      <c r="Z78" s="7">
        <f>Tabelle25[[#This Row],[Additive amount
voc4cat:sample mass
voc4cat:0007038]]</f>
        <v>0</v>
      </c>
      <c r="AA78" s="7">
        <f>Tabelle25[[#This Row],[Metal]]</f>
        <v>0</v>
      </c>
      <c r="AB78" s="7">
        <f>Tabelle25[[#This Row],[Metal loading, nominal (wt%)
voc4cat:0007815]]</f>
        <v>0</v>
      </c>
      <c r="AC78" s="7">
        <f>Tabelle25[[#This Row],[molar ratio metal additive]]</f>
        <v>0</v>
      </c>
      <c r="AD78" s="7">
        <f>Tabelle25[[#This Row],[molar ratio metal metal]]</f>
        <v>0</v>
      </c>
    </row>
    <row r="79" spans="1:30" ht="15" customHeight="1">
      <c r="A79" s="7">
        <f>Tabelle25[[#This Row],[institution
voc4cat:0007842]]</f>
        <v>0</v>
      </c>
      <c r="B79" s="7">
        <f>Tabelle25[[#This Row],[catalyst barcode  
(barcode: AFO_/result'#AFR:0002690)]]</f>
        <v>0</v>
      </c>
      <c r="C79" s="7">
        <f>Tabelle25[[#This Row],[identifier  
dct]]</f>
        <v>0</v>
      </c>
      <c r="D79" s="7">
        <f>Tabelle25[[#This Row],[catalyst
voc4cat:0007014]]</f>
        <v>0</v>
      </c>
      <c r="E79" s="7">
        <f>Tabelle25[[#This Row],[Name
dct:title]]</f>
        <v>0</v>
      </c>
      <c r="F79" s="7">
        <f>Tabelle25[[#This Row],[Preparation method
voc4cat:0007016]]</f>
        <v>0</v>
      </c>
      <c r="G79" s="7">
        <f>Tabelle25[[#This Row],[Support  
voc4cat:0007825]]</f>
        <v>0</v>
      </c>
      <c r="H79" s="7">
        <f>Tabelle25[[#This Row],[Support Barcode
(barcode: AFO_/result'#AFR:0002690)]]</f>
        <v>0</v>
      </c>
      <c r="I79" s="7">
        <f>Tabelle25[[#This Row],[Support identifier
dct]]</f>
        <v>0</v>
      </c>
      <c r="J79" s="7">
        <f>Tabelle25[[#This Row],[Support shape]]</f>
        <v>0</v>
      </c>
      <c r="K79" s="7">
        <f>Tabelle25[[#This Row],[Support Pretreatment
voc4cat:sample pretreatment voc4cat:0000123]]</f>
        <v>0</v>
      </c>
      <c r="L79" s="7">
        <f>Tabelle25[[#This Row],[Precursor 1 
precursor: voc4cat:0007794]]</f>
        <v>0</v>
      </c>
      <c r="M79" s="7">
        <f>Tabelle25[[#This Row],[Precursor 1 
dct:identifier
SMILES, InChi or InChiKey]]</f>
        <v>0</v>
      </c>
      <c r="N79" s="7">
        <f>Tabelle25[[#This Row],[Precursor 1 amount
voc4cat:sample mass
voc4cat:0007038]]</f>
        <v>0</v>
      </c>
      <c r="O79" s="7">
        <f>Tabelle25[[#This Row],[Precursor 2 
precursor: voc4cat:0007794]]</f>
        <v>0</v>
      </c>
      <c r="P79" s="7">
        <f>Tabelle25[[#This Row],[Precursor 2 
dct:identifier
SMILES, InChi or InChiKey]]</f>
        <v>0</v>
      </c>
      <c r="Q79" s="7">
        <f>Tabelle25[[#This Row],[Precursor 2 amount
voc4cat:sample mass
voc4cat:0007038]]</f>
        <v>0</v>
      </c>
      <c r="R79" s="7">
        <f>Tabelle25[[#This Row],[Precursor 3 
precursor: voc4cat:0007794]]</f>
        <v>0</v>
      </c>
      <c r="S79" s="7">
        <f>Tabelle25[[#This Row],[Precursor 3 
dct:identifier
SMILES, InChi or InChiKey]]</f>
        <v>0</v>
      </c>
      <c r="T79" s="7">
        <f>Tabelle25[[#This Row],[Precursor 3 amount
voc4cat:sample mass
voc4cat:0007038]]</f>
        <v>0</v>
      </c>
      <c r="U79" s="7">
        <f>Tabelle25[[#This Row],[Precursor 4 
precursor: voc4cat:0007794]]</f>
        <v>0</v>
      </c>
      <c r="V79" s="7">
        <f>Tabelle25[[#This Row],[Precursor 4 
dct:identifier
SMILES, InChi or InChiKey]]</f>
        <v>0</v>
      </c>
      <c r="W79" s="7">
        <f>Tabelle25[[#This Row],[Precursor 4 amount
voc4cat:sample mass
voc4cat:0007038]]</f>
        <v>0</v>
      </c>
      <c r="X79" s="7">
        <f>Tabelle25[[#This Row],[additive
voc4cat:0007793]]</f>
        <v>0</v>
      </c>
      <c r="Y79" s="7">
        <f>Tabelle25[[#This Row],[additive
dct:identifier
SMILES, InChi or InChiKey]]</f>
        <v>0</v>
      </c>
      <c r="Z79" s="7">
        <f>Tabelle25[[#This Row],[Additive amount
voc4cat:sample mass
voc4cat:0007038]]</f>
        <v>0</v>
      </c>
      <c r="AA79" s="7">
        <f>Tabelle25[[#This Row],[Metal]]</f>
        <v>0</v>
      </c>
      <c r="AB79" s="7">
        <f>Tabelle25[[#This Row],[Metal loading, nominal (wt%)
voc4cat:0007815]]</f>
        <v>0</v>
      </c>
      <c r="AC79" s="7">
        <f>Tabelle25[[#This Row],[molar ratio metal additive]]</f>
        <v>0</v>
      </c>
      <c r="AD79" s="7">
        <f>Tabelle25[[#This Row],[molar ratio metal metal]]</f>
        <v>0</v>
      </c>
    </row>
    <row r="80" spans="1:30" ht="15" customHeight="1">
      <c r="A80" s="7">
        <f>Tabelle25[[#This Row],[institution
voc4cat:0007842]]</f>
        <v>0</v>
      </c>
      <c r="B80" s="7">
        <f>Tabelle25[[#This Row],[catalyst barcode  
(barcode: AFO_/result'#AFR:0002690)]]</f>
        <v>0</v>
      </c>
      <c r="C80" s="7">
        <f>Tabelle25[[#This Row],[identifier  
dct]]</f>
        <v>0</v>
      </c>
      <c r="D80" s="7">
        <f>Tabelle25[[#This Row],[catalyst
voc4cat:0007014]]</f>
        <v>0</v>
      </c>
      <c r="E80" s="7">
        <f>Tabelle25[[#This Row],[Name
dct:title]]</f>
        <v>0</v>
      </c>
      <c r="F80" s="7">
        <f>Tabelle25[[#This Row],[Preparation method
voc4cat:0007016]]</f>
        <v>0</v>
      </c>
      <c r="G80" s="7">
        <f>Tabelle25[[#This Row],[Support  
voc4cat:0007825]]</f>
        <v>0</v>
      </c>
      <c r="H80" s="7">
        <f>Tabelle25[[#This Row],[Support Barcode
(barcode: AFO_/result'#AFR:0002690)]]</f>
        <v>0</v>
      </c>
      <c r="I80" s="7">
        <f>Tabelle25[[#This Row],[Support identifier
dct]]</f>
        <v>0</v>
      </c>
      <c r="J80" s="7">
        <f>Tabelle25[[#This Row],[Support shape]]</f>
        <v>0</v>
      </c>
      <c r="K80" s="7">
        <f>Tabelle25[[#This Row],[Support Pretreatment
voc4cat:sample pretreatment voc4cat:0000123]]</f>
        <v>0</v>
      </c>
      <c r="L80" s="7">
        <f>Tabelle25[[#This Row],[Precursor 1 
precursor: voc4cat:0007794]]</f>
        <v>0</v>
      </c>
      <c r="M80" s="7">
        <f>Tabelle25[[#This Row],[Precursor 1 
dct:identifier
SMILES, InChi or InChiKey]]</f>
        <v>0</v>
      </c>
      <c r="N80" s="7">
        <f>Tabelle25[[#This Row],[Precursor 1 amount
voc4cat:sample mass
voc4cat:0007038]]</f>
        <v>0</v>
      </c>
      <c r="O80" s="7">
        <f>Tabelle25[[#This Row],[Precursor 2 
precursor: voc4cat:0007794]]</f>
        <v>0</v>
      </c>
      <c r="P80" s="7">
        <f>Tabelle25[[#This Row],[Precursor 2 
dct:identifier
SMILES, InChi or InChiKey]]</f>
        <v>0</v>
      </c>
      <c r="Q80" s="7">
        <f>Tabelle25[[#This Row],[Precursor 2 amount
voc4cat:sample mass
voc4cat:0007038]]</f>
        <v>0</v>
      </c>
      <c r="R80" s="7">
        <f>Tabelle25[[#This Row],[Precursor 3 
precursor: voc4cat:0007794]]</f>
        <v>0</v>
      </c>
      <c r="S80" s="7">
        <f>Tabelle25[[#This Row],[Precursor 3 
dct:identifier
SMILES, InChi or InChiKey]]</f>
        <v>0</v>
      </c>
      <c r="T80" s="7">
        <f>Tabelle25[[#This Row],[Precursor 3 amount
voc4cat:sample mass
voc4cat:0007038]]</f>
        <v>0</v>
      </c>
      <c r="U80" s="7">
        <f>Tabelle25[[#This Row],[Precursor 4 
precursor: voc4cat:0007794]]</f>
        <v>0</v>
      </c>
      <c r="V80" s="7">
        <f>Tabelle25[[#This Row],[Precursor 4 
dct:identifier
SMILES, InChi or InChiKey]]</f>
        <v>0</v>
      </c>
      <c r="W80" s="7">
        <f>Tabelle25[[#This Row],[Precursor 4 amount
voc4cat:sample mass
voc4cat:0007038]]</f>
        <v>0</v>
      </c>
      <c r="X80" s="7">
        <f>Tabelle25[[#This Row],[additive
voc4cat:0007793]]</f>
        <v>0</v>
      </c>
      <c r="Y80" s="7">
        <f>Tabelle25[[#This Row],[additive
dct:identifier
SMILES, InChi or InChiKey]]</f>
        <v>0</v>
      </c>
      <c r="Z80" s="7">
        <f>Tabelle25[[#This Row],[Additive amount
voc4cat:sample mass
voc4cat:0007038]]</f>
        <v>0</v>
      </c>
      <c r="AA80" s="7">
        <f>Tabelle25[[#This Row],[Metal]]</f>
        <v>0</v>
      </c>
      <c r="AB80" s="7">
        <f>Tabelle25[[#This Row],[Metal loading, nominal (wt%)
voc4cat:0007815]]</f>
        <v>0</v>
      </c>
      <c r="AC80" s="7">
        <f>Tabelle25[[#This Row],[molar ratio metal additive]]</f>
        <v>0</v>
      </c>
      <c r="AD80" s="7">
        <f>Tabelle25[[#This Row],[molar ratio metal metal]]</f>
        <v>0</v>
      </c>
    </row>
    <row r="81" spans="1:30" ht="15" customHeight="1">
      <c r="A81" s="7">
        <f>Tabelle25[[#This Row],[institution
voc4cat:0007842]]</f>
        <v>0</v>
      </c>
      <c r="B81" s="7">
        <f>Tabelle25[[#This Row],[catalyst barcode  
(barcode: AFO_/result'#AFR:0002690)]]</f>
        <v>0</v>
      </c>
      <c r="C81" s="7">
        <f>Tabelle25[[#This Row],[identifier  
dct]]</f>
        <v>0</v>
      </c>
      <c r="D81" s="7">
        <f>Tabelle25[[#This Row],[catalyst
voc4cat:0007014]]</f>
        <v>0</v>
      </c>
      <c r="E81" s="7">
        <f>Tabelle25[[#This Row],[Name
dct:title]]</f>
        <v>0</v>
      </c>
      <c r="F81" s="7">
        <f>Tabelle25[[#This Row],[Preparation method
voc4cat:0007016]]</f>
        <v>0</v>
      </c>
      <c r="G81" s="7">
        <f>Tabelle25[[#This Row],[Support  
voc4cat:0007825]]</f>
        <v>0</v>
      </c>
      <c r="H81" s="7">
        <f>Tabelle25[[#This Row],[Support Barcode
(barcode: AFO_/result'#AFR:0002690)]]</f>
        <v>0</v>
      </c>
      <c r="I81" s="7">
        <f>Tabelle25[[#This Row],[Support identifier
dct]]</f>
        <v>0</v>
      </c>
      <c r="J81" s="7">
        <f>Tabelle25[[#This Row],[Support shape]]</f>
        <v>0</v>
      </c>
      <c r="K81" s="7">
        <f>Tabelle25[[#This Row],[Support Pretreatment
voc4cat:sample pretreatment voc4cat:0000123]]</f>
        <v>0</v>
      </c>
      <c r="L81" s="7">
        <f>Tabelle25[[#This Row],[Precursor 1 
precursor: voc4cat:0007794]]</f>
        <v>0</v>
      </c>
      <c r="M81" s="7">
        <f>Tabelle25[[#This Row],[Precursor 1 
dct:identifier
SMILES, InChi or InChiKey]]</f>
        <v>0</v>
      </c>
      <c r="N81" s="7">
        <f>Tabelle25[[#This Row],[Precursor 1 amount
voc4cat:sample mass
voc4cat:0007038]]</f>
        <v>0</v>
      </c>
      <c r="O81" s="7">
        <f>Tabelle25[[#This Row],[Precursor 2 
precursor: voc4cat:0007794]]</f>
        <v>0</v>
      </c>
      <c r="P81" s="7">
        <f>Tabelle25[[#This Row],[Precursor 2 
dct:identifier
SMILES, InChi or InChiKey]]</f>
        <v>0</v>
      </c>
      <c r="Q81" s="7">
        <f>Tabelle25[[#This Row],[Precursor 2 amount
voc4cat:sample mass
voc4cat:0007038]]</f>
        <v>0</v>
      </c>
      <c r="R81" s="7">
        <f>Tabelle25[[#This Row],[Precursor 3 
precursor: voc4cat:0007794]]</f>
        <v>0</v>
      </c>
      <c r="S81" s="7">
        <f>Tabelle25[[#This Row],[Precursor 3 
dct:identifier
SMILES, InChi or InChiKey]]</f>
        <v>0</v>
      </c>
      <c r="T81" s="7">
        <f>Tabelle25[[#This Row],[Precursor 3 amount
voc4cat:sample mass
voc4cat:0007038]]</f>
        <v>0</v>
      </c>
      <c r="U81" s="7">
        <f>Tabelle25[[#This Row],[Precursor 4 
precursor: voc4cat:0007794]]</f>
        <v>0</v>
      </c>
      <c r="V81" s="7">
        <f>Tabelle25[[#This Row],[Precursor 4 
dct:identifier
SMILES, InChi or InChiKey]]</f>
        <v>0</v>
      </c>
      <c r="W81" s="7">
        <f>Tabelle25[[#This Row],[Precursor 4 amount
voc4cat:sample mass
voc4cat:0007038]]</f>
        <v>0</v>
      </c>
      <c r="X81" s="7">
        <f>Tabelle25[[#This Row],[additive
voc4cat:0007793]]</f>
        <v>0</v>
      </c>
      <c r="Y81" s="7">
        <f>Tabelle25[[#This Row],[additive
dct:identifier
SMILES, InChi or InChiKey]]</f>
        <v>0</v>
      </c>
      <c r="Z81" s="7">
        <f>Tabelle25[[#This Row],[Additive amount
voc4cat:sample mass
voc4cat:0007038]]</f>
        <v>0</v>
      </c>
      <c r="AA81" s="7">
        <f>Tabelle25[[#This Row],[Metal]]</f>
        <v>0</v>
      </c>
      <c r="AB81" s="7">
        <f>Tabelle25[[#This Row],[Metal loading, nominal (wt%)
voc4cat:0007815]]</f>
        <v>0</v>
      </c>
      <c r="AC81" s="7">
        <f>Tabelle25[[#This Row],[molar ratio metal additive]]</f>
        <v>0</v>
      </c>
      <c r="AD81" s="7">
        <f>Tabelle25[[#This Row],[molar ratio metal metal]]</f>
        <v>0</v>
      </c>
    </row>
    <row r="82" spans="1:30" ht="15" customHeight="1">
      <c r="A82" s="7">
        <f>Tabelle25[[#This Row],[institution
voc4cat:0007842]]</f>
        <v>0</v>
      </c>
      <c r="B82" s="7">
        <f>Tabelle25[[#This Row],[catalyst barcode  
(barcode: AFO_/result'#AFR:0002690)]]</f>
        <v>0</v>
      </c>
      <c r="C82" s="7">
        <f>Tabelle25[[#This Row],[identifier  
dct]]</f>
        <v>0</v>
      </c>
      <c r="D82" s="7">
        <f>Tabelle25[[#This Row],[catalyst
voc4cat:0007014]]</f>
        <v>0</v>
      </c>
      <c r="E82" s="7">
        <f>Tabelle25[[#This Row],[Name
dct:title]]</f>
        <v>0</v>
      </c>
      <c r="F82" s="7">
        <f>Tabelle25[[#This Row],[Preparation method
voc4cat:0007016]]</f>
        <v>0</v>
      </c>
      <c r="G82" s="7">
        <f>Tabelle25[[#This Row],[Support  
voc4cat:0007825]]</f>
        <v>0</v>
      </c>
      <c r="H82" s="7">
        <f>Tabelle25[[#This Row],[Support Barcode
(barcode: AFO_/result'#AFR:0002690)]]</f>
        <v>0</v>
      </c>
      <c r="I82" s="7">
        <f>Tabelle25[[#This Row],[Support identifier
dct]]</f>
        <v>0</v>
      </c>
      <c r="J82" s="7">
        <f>Tabelle25[[#This Row],[Support shape]]</f>
        <v>0</v>
      </c>
      <c r="K82" s="7">
        <f>Tabelle25[[#This Row],[Support Pretreatment
voc4cat:sample pretreatment voc4cat:0000123]]</f>
        <v>0</v>
      </c>
      <c r="L82" s="7">
        <f>Tabelle25[[#This Row],[Precursor 1 
precursor: voc4cat:0007794]]</f>
        <v>0</v>
      </c>
      <c r="M82" s="7">
        <f>Tabelle25[[#This Row],[Precursor 1 
dct:identifier
SMILES, InChi or InChiKey]]</f>
        <v>0</v>
      </c>
      <c r="N82" s="7">
        <f>Tabelle25[[#This Row],[Precursor 1 amount
voc4cat:sample mass
voc4cat:0007038]]</f>
        <v>0</v>
      </c>
      <c r="O82" s="7">
        <f>Tabelle25[[#This Row],[Precursor 2 
precursor: voc4cat:0007794]]</f>
        <v>0</v>
      </c>
      <c r="P82" s="7">
        <f>Tabelle25[[#This Row],[Precursor 2 
dct:identifier
SMILES, InChi or InChiKey]]</f>
        <v>0</v>
      </c>
      <c r="Q82" s="7">
        <f>Tabelle25[[#This Row],[Precursor 2 amount
voc4cat:sample mass
voc4cat:0007038]]</f>
        <v>0</v>
      </c>
      <c r="R82" s="7">
        <f>Tabelle25[[#This Row],[Precursor 3 
precursor: voc4cat:0007794]]</f>
        <v>0</v>
      </c>
      <c r="S82" s="7">
        <f>Tabelle25[[#This Row],[Precursor 3 
dct:identifier
SMILES, InChi or InChiKey]]</f>
        <v>0</v>
      </c>
      <c r="T82" s="7">
        <f>Tabelle25[[#This Row],[Precursor 3 amount
voc4cat:sample mass
voc4cat:0007038]]</f>
        <v>0</v>
      </c>
      <c r="U82" s="7">
        <f>Tabelle25[[#This Row],[Precursor 4 
precursor: voc4cat:0007794]]</f>
        <v>0</v>
      </c>
      <c r="V82" s="7">
        <f>Tabelle25[[#This Row],[Precursor 4 
dct:identifier
SMILES, InChi or InChiKey]]</f>
        <v>0</v>
      </c>
      <c r="W82" s="7">
        <f>Tabelle25[[#This Row],[Precursor 4 amount
voc4cat:sample mass
voc4cat:0007038]]</f>
        <v>0</v>
      </c>
      <c r="X82" s="7">
        <f>Tabelle25[[#This Row],[additive
voc4cat:0007793]]</f>
        <v>0</v>
      </c>
      <c r="Y82" s="7">
        <f>Tabelle25[[#This Row],[additive
dct:identifier
SMILES, InChi or InChiKey]]</f>
        <v>0</v>
      </c>
      <c r="Z82" s="7">
        <f>Tabelle25[[#This Row],[Additive amount
voc4cat:sample mass
voc4cat:0007038]]</f>
        <v>0</v>
      </c>
      <c r="AA82" s="7">
        <f>Tabelle25[[#This Row],[Metal]]</f>
        <v>0</v>
      </c>
      <c r="AB82" s="7">
        <f>Tabelle25[[#This Row],[Metal loading, nominal (wt%)
voc4cat:0007815]]</f>
        <v>0</v>
      </c>
      <c r="AC82" s="7">
        <f>Tabelle25[[#This Row],[molar ratio metal additive]]</f>
        <v>0</v>
      </c>
      <c r="AD82" s="7">
        <f>Tabelle25[[#This Row],[molar ratio metal metal]]</f>
        <v>0</v>
      </c>
    </row>
    <row r="83" spans="1:30" ht="15" customHeight="1">
      <c r="A83" s="7">
        <f>Tabelle25[[#This Row],[institution
voc4cat:0007842]]</f>
        <v>0</v>
      </c>
      <c r="B83" s="7">
        <f>Tabelle25[[#This Row],[catalyst barcode  
(barcode: AFO_/result'#AFR:0002690)]]</f>
        <v>0</v>
      </c>
      <c r="C83" s="7">
        <f>Tabelle25[[#This Row],[identifier  
dct]]</f>
        <v>0</v>
      </c>
      <c r="D83" s="7">
        <f>Tabelle25[[#This Row],[catalyst
voc4cat:0007014]]</f>
        <v>0</v>
      </c>
      <c r="E83" s="7">
        <f>Tabelle25[[#This Row],[Name
dct:title]]</f>
        <v>0</v>
      </c>
      <c r="F83" s="7">
        <f>Tabelle25[[#This Row],[Preparation method
voc4cat:0007016]]</f>
        <v>0</v>
      </c>
      <c r="G83" s="7">
        <f>Tabelle25[[#This Row],[Support  
voc4cat:0007825]]</f>
        <v>0</v>
      </c>
      <c r="H83" s="7">
        <f>Tabelle25[[#This Row],[Support Barcode
(barcode: AFO_/result'#AFR:0002690)]]</f>
        <v>0</v>
      </c>
      <c r="I83" s="7">
        <f>Tabelle25[[#This Row],[Support identifier
dct]]</f>
        <v>0</v>
      </c>
      <c r="J83" s="7">
        <f>Tabelle25[[#This Row],[Support shape]]</f>
        <v>0</v>
      </c>
      <c r="K83" s="7">
        <f>Tabelle25[[#This Row],[Support Pretreatment
voc4cat:sample pretreatment voc4cat:0000123]]</f>
        <v>0</v>
      </c>
      <c r="L83" s="7">
        <f>Tabelle25[[#This Row],[Precursor 1 
precursor: voc4cat:0007794]]</f>
        <v>0</v>
      </c>
      <c r="M83" s="7">
        <f>Tabelle25[[#This Row],[Precursor 1 
dct:identifier
SMILES, InChi or InChiKey]]</f>
        <v>0</v>
      </c>
      <c r="N83" s="7">
        <f>Tabelle25[[#This Row],[Precursor 1 amount
voc4cat:sample mass
voc4cat:0007038]]</f>
        <v>0</v>
      </c>
      <c r="O83" s="7">
        <f>Tabelle25[[#This Row],[Precursor 2 
precursor: voc4cat:0007794]]</f>
        <v>0</v>
      </c>
      <c r="P83" s="7">
        <f>Tabelle25[[#This Row],[Precursor 2 
dct:identifier
SMILES, InChi or InChiKey]]</f>
        <v>0</v>
      </c>
      <c r="Q83" s="7">
        <f>Tabelle25[[#This Row],[Precursor 2 amount
voc4cat:sample mass
voc4cat:0007038]]</f>
        <v>0</v>
      </c>
      <c r="R83" s="7">
        <f>Tabelle25[[#This Row],[Precursor 3 
precursor: voc4cat:0007794]]</f>
        <v>0</v>
      </c>
      <c r="S83" s="7">
        <f>Tabelle25[[#This Row],[Precursor 3 
dct:identifier
SMILES, InChi or InChiKey]]</f>
        <v>0</v>
      </c>
      <c r="T83" s="7">
        <f>Tabelle25[[#This Row],[Precursor 3 amount
voc4cat:sample mass
voc4cat:0007038]]</f>
        <v>0</v>
      </c>
      <c r="U83" s="7">
        <f>Tabelle25[[#This Row],[Precursor 4 
precursor: voc4cat:0007794]]</f>
        <v>0</v>
      </c>
      <c r="V83" s="7">
        <f>Tabelle25[[#This Row],[Precursor 4 
dct:identifier
SMILES, InChi or InChiKey]]</f>
        <v>0</v>
      </c>
      <c r="W83" s="7">
        <f>Tabelle25[[#This Row],[Precursor 4 amount
voc4cat:sample mass
voc4cat:0007038]]</f>
        <v>0</v>
      </c>
      <c r="X83" s="7">
        <f>Tabelle25[[#This Row],[additive
voc4cat:0007793]]</f>
        <v>0</v>
      </c>
      <c r="Y83" s="7">
        <f>Tabelle25[[#This Row],[additive
dct:identifier
SMILES, InChi or InChiKey]]</f>
        <v>0</v>
      </c>
      <c r="Z83" s="7">
        <f>Tabelle25[[#This Row],[Additive amount
voc4cat:sample mass
voc4cat:0007038]]</f>
        <v>0</v>
      </c>
      <c r="AA83" s="7">
        <f>Tabelle25[[#This Row],[Metal]]</f>
        <v>0</v>
      </c>
      <c r="AB83" s="7">
        <f>Tabelle25[[#This Row],[Metal loading, nominal (wt%)
voc4cat:0007815]]</f>
        <v>0</v>
      </c>
      <c r="AC83" s="7">
        <f>Tabelle25[[#This Row],[molar ratio metal additive]]</f>
        <v>0</v>
      </c>
      <c r="AD83" s="7">
        <f>Tabelle25[[#This Row],[molar ratio metal metal]]</f>
        <v>0</v>
      </c>
    </row>
    <row r="84" spans="1:30" ht="15" customHeight="1">
      <c r="A84" s="7">
        <f>Tabelle25[[#This Row],[institution
voc4cat:0007842]]</f>
        <v>0</v>
      </c>
      <c r="B84" s="7">
        <f>Tabelle25[[#This Row],[catalyst barcode  
(barcode: AFO_/result'#AFR:0002690)]]</f>
        <v>0</v>
      </c>
      <c r="C84" s="7">
        <f>Tabelle25[[#This Row],[identifier  
dct]]</f>
        <v>0</v>
      </c>
      <c r="D84" s="7">
        <f>Tabelle25[[#This Row],[catalyst
voc4cat:0007014]]</f>
        <v>0</v>
      </c>
      <c r="E84" s="7">
        <f>Tabelle25[[#This Row],[Name
dct:title]]</f>
        <v>0</v>
      </c>
      <c r="F84" s="7">
        <f>Tabelle25[[#This Row],[Preparation method
voc4cat:0007016]]</f>
        <v>0</v>
      </c>
      <c r="G84" s="7">
        <f>Tabelle25[[#This Row],[Support  
voc4cat:0007825]]</f>
        <v>0</v>
      </c>
      <c r="H84" s="7">
        <f>Tabelle25[[#This Row],[Support Barcode
(barcode: AFO_/result'#AFR:0002690)]]</f>
        <v>0</v>
      </c>
      <c r="I84" s="7">
        <f>Tabelle25[[#This Row],[Support identifier
dct]]</f>
        <v>0</v>
      </c>
      <c r="J84" s="7">
        <f>Tabelle25[[#This Row],[Support shape]]</f>
        <v>0</v>
      </c>
      <c r="K84" s="7">
        <f>Tabelle25[[#This Row],[Support Pretreatment
voc4cat:sample pretreatment voc4cat:0000123]]</f>
        <v>0</v>
      </c>
      <c r="L84" s="7">
        <f>Tabelle25[[#This Row],[Precursor 1 
precursor: voc4cat:0007794]]</f>
        <v>0</v>
      </c>
      <c r="M84" s="7">
        <f>Tabelle25[[#This Row],[Precursor 1 
dct:identifier
SMILES, InChi or InChiKey]]</f>
        <v>0</v>
      </c>
      <c r="N84" s="7">
        <f>Tabelle25[[#This Row],[Precursor 1 amount
voc4cat:sample mass
voc4cat:0007038]]</f>
        <v>0</v>
      </c>
      <c r="O84" s="7">
        <f>Tabelle25[[#This Row],[Precursor 2 
precursor: voc4cat:0007794]]</f>
        <v>0</v>
      </c>
      <c r="P84" s="7">
        <f>Tabelle25[[#This Row],[Precursor 2 
dct:identifier
SMILES, InChi or InChiKey]]</f>
        <v>0</v>
      </c>
      <c r="Q84" s="7">
        <f>Tabelle25[[#This Row],[Precursor 2 amount
voc4cat:sample mass
voc4cat:0007038]]</f>
        <v>0</v>
      </c>
      <c r="R84" s="7">
        <f>Tabelle25[[#This Row],[Precursor 3 
precursor: voc4cat:0007794]]</f>
        <v>0</v>
      </c>
      <c r="S84" s="7">
        <f>Tabelle25[[#This Row],[Precursor 3 
dct:identifier
SMILES, InChi or InChiKey]]</f>
        <v>0</v>
      </c>
      <c r="T84" s="7">
        <f>Tabelle25[[#This Row],[Precursor 3 amount
voc4cat:sample mass
voc4cat:0007038]]</f>
        <v>0</v>
      </c>
      <c r="U84" s="7">
        <f>Tabelle25[[#This Row],[Precursor 4 
precursor: voc4cat:0007794]]</f>
        <v>0</v>
      </c>
      <c r="V84" s="7">
        <f>Tabelle25[[#This Row],[Precursor 4 
dct:identifier
SMILES, InChi or InChiKey]]</f>
        <v>0</v>
      </c>
      <c r="W84" s="7">
        <f>Tabelle25[[#This Row],[Precursor 4 amount
voc4cat:sample mass
voc4cat:0007038]]</f>
        <v>0</v>
      </c>
      <c r="X84" s="7">
        <f>Tabelle25[[#This Row],[additive
voc4cat:0007793]]</f>
        <v>0</v>
      </c>
      <c r="Y84" s="7">
        <f>Tabelle25[[#This Row],[additive
dct:identifier
SMILES, InChi or InChiKey]]</f>
        <v>0</v>
      </c>
      <c r="Z84" s="7">
        <f>Tabelle25[[#This Row],[Additive amount
voc4cat:sample mass
voc4cat:0007038]]</f>
        <v>0</v>
      </c>
      <c r="AA84" s="7">
        <f>Tabelle25[[#This Row],[Metal]]</f>
        <v>0</v>
      </c>
      <c r="AB84" s="7">
        <f>Tabelle25[[#This Row],[Metal loading, nominal (wt%)
voc4cat:0007815]]</f>
        <v>0</v>
      </c>
      <c r="AC84" s="7">
        <f>Tabelle25[[#This Row],[molar ratio metal additive]]</f>
        <v>0</v>
      </c>
      <c r="AD84" s="7">
        <f>Tabelle25[[#This Row],[molar ratio metal metal]]</f>
        <v>0</v>
      </c>
    </row>
    <row r="85" spans="1:30" ht="15" customHeight="1">
      <c r="A85" s="7">
        <f>Tabelle25[[#This Row],[institution
voc4cat:0007842]]</f>
        <v>0</v>
      </c>
      <c r="B85" s="7">
        <f>Tabelle25[[#This Row],[catalyst barcode  
(barcode: AFO_/result'#AFR:0002690)]]</f>
        <v>0</v>
      </c>
      <c r="C85" s="7">
        <f>Tabelle25[[#This Row],[identifier  
dct]]</f>
        <v>0</v>
      </c>
      <c r="D85" s="7">
        <f>Tabelle25[[#This Row],[catalyst
voc4cat:0007014]]</f>
        <v>0</v>
      </c>
      <c r="E85" s="7">
        <f>Tabelle25[[#This Row],[Name
dct:title]]</f>
        <v>0</v>
      </c>
      <c r="F85" s="7">
        <f>Tabelle25[[#This Row],[Preparation method
voc4cat:0007016]]</f>
        <v>0</v>
      </c>
      <c r="G85" s="7">
        <f>Tabelle25[[#This Row],[Support  
voc4cat:0007825]]</f>
        <v>0</v>
      </c>
      <c r="H85" s="7">
        <f>Tabelle25[[#This Row],[Support Barcode
(barcode: AFO_/result'#AFR:0002690)]]</f>
        <v>0</v>
      </c>
      <c r="I85" s="7">
        <f>Tabelle25[[#This Row],[Support identifier
dct]]</f>
        <v>0</v>
      </c>
      <c r="J85" s="7">
        <f>Tabelle25[[#This Row],[Support shape]]</f>
        <v>0</v>
      </c>
      <c r="K85" s="7">
        <f>Tabelle25[[#This Row],[Support Pretreatment
voc4cat:sample pretreatment voc4cat:0000123]]</f>
        <v>0</v>
      </c>
      <c r="L85" s="7">
        <f>Tabelle25[[#This Row],[Precursor 1 
precursor: voc4cat:0007794]]</f>
        <v>0</v>
      </c>
      <c r="M85" s="7">
        <f>Tabelle25[[#This Row],[Precursor 1 
dct:identifier
SMILES, InChi or InChiKey]]</f>
        <v>0</v>
      </c>
      <c r="N85" s="7">
        <f>Tabelle25[[#This Row],[Precursor 1 amount
voc4cat:sample mass
voc4cat:0007038]]</f>
        <v>0</v>
      </c>
      <c r="O85" s="7">
        <f>Tabelle25[[#This Row],[Precursor 2 
precursor: voc4cat:0007794]]</f>
        <v>0</v>
      </c>
      <c r="P85" s="7">
        <f>Tabelle25[[#This Row],[Precursor 2 
dct:identifier
SMILES, InChi or InChiKey]]</f>
        <v>0</v>
      </c>
      <c r="Q85" s="7">
        <f>Tabelle25[[#This Row],[Precursor 2 amount
voc4cat:sample mass
voc4cat:0007038]]</f>
        <v>0</v>
      </c>
      <c r="R85" s="7">
        <f>Tabelle25[[#This Row],[Precursor 3 
precursor: voc4cat:0007794]]</f>
        <v>0</v>
      </c>
      <c r="S85" s="7">
        <f>Tabelle25[[#This Row],[Precursor 3 
dct:identifier
SMILES, InChi or InChiKey]]</f>
        <v>0</v>
      </c>
      <c r="T85" s="7">
        <f>Tabelle25[[#This Row],[Precursor 3 amount
voc4cat:sample mass
voc4cat:0007038]]</f>
        <v>0</v>
      </c>
      <c r="U85" s="7">
        <f>Tabelle25[[#This Row],[Precursor 4 
precursor: voc4cat:0007794]]</f>
        <v>0</v>
      </c>
      <c r="V85" s="7">
        <f>Tabelle25[[#This Row],[Precursor 4 
dct:identifier
SMILES, InChi or InChiKey]]</f>
        <v>0</v>
      </c>
      <c r="W85" s="7">
        <f>Tabelle25[[#This Row],[Precursor 4 amount
voc4cat:sample mass
voc4cat:0007038]]</f>
        <v>0</v>
      </c>
      <c r="X85" s="7">
        <f>Tabelle25[[#This Row],[additive
voc4cat:0007793]]</f>
        <v>0</v>
      </c>
      <c r="Y85" s="7">
        <f>Tabelle25[[#This Row],[additive
dct:identifier
SMILES, InChi or InChiKey]]</f>
        <v>0</v>
      </c>
      <c r="Z85" s="7">
        <f>Tabelle25[[#This Row],[Additive amount
voc4cat:sample mass
voc4cat:0007038]]</f>
        <v>0</v>
      </c>
      <c r="AA85" s="7">
        <f>Tabelle25[[#This Row],[Metal]]</f>
        <v>0</v>
      </c>
      <c r="AB85" s="7">
        <f>Tabelle25[[#This Row],[Metal loading, nominal (wt%)
voc4cat:0007815]]</f>
        <v>0</v>
      </c>
      <c r="AC85" s="7">
        <f>Tabelle25[[#This Row],[molar ratio metal additive]]</f>
        <v>0</v>
      </c>
      <c r="AD85" s="7">
        <f>Tabelle25[[#This Row],[molar ratio metal metal]]</f>
        <v>0</v>
      </c>
    </row>
    <row r="86" spans="1:30" ht="15" customHeight="1">
      <c r="A86" s="7">
        <f>Tabelle25[[#This Row],[institution
voc4cat:0007842]]</f>
        <v>0</v>
      </c>
      <c r="B86" s="7">
        <f>Tabelle25[[#This Row],[catalyst barcode  
(barcode: AFO_/result'#AFR:0002690)]]</f>
        <v>0</v>
      </c>
      <c r="C86" s="7">
        <f>Tabelle25[[#This Row],[identifier  
dct]]</f>
        <v>0</v>
      </c>
      <c r="D86" s="7">
        <f>Tabelle25[[#This Row],[catalyst
voc4cat:0007014]]</f>
        <v>0</v>
      </c>
      <c r="E86" s="7">
        <f>Tabelle25[[#This Row],[Name
dct:title]]</f>
        <v>0</v>
      </c>
      <c r="F86" s="7">
        <f>Tabelle25[[#This Row],[Preparation method
voc4cat:0007016]]</f>
        <v>0</v>
      </c>
      <c r="G86" s="7">
        <f>Tabelle25[[#This Row],[Support  
voc4cat:0007825]]</f>
        <v>0</v>
      </c>
      <c r="H86" s="7">
        <f>Tabelle25[[#This Row],[Support Barcode
(barcode: AFO_/result'#AFR:0002690)]]</f>
        <v>0</v>
      </c>
      <c r="I86" s="7">
        <f>Tabelle25[[#This Row],[Support identifier
dct]]</f>
        <v>0</v>
      </c>
      <c r="J86" s="7">
        <f>Tabelle25[[#This Row],[Support shape]]</f>
        <v>0</v>
      </c>
      <c r="K86" s="7">
        <f>Tabelle25[[#This Row],[Support Pretreatment
voc4cat:sample pretreatment voc4cat:0000123]]</f>
        <v>0</v>
      </c>
      <c r="L86" s="7">
        <f>Tabelle25[[#This Row],[Precursor 1 
precursor: voc4cat:0007794]]</f>
        <v>0</v>
      </c>
      <c r="M86" s="7">
        <f>Tabelle25[[#This Row],[Precursor 1 
dct:identifier
SMILES, InChi or InChiKey]]</f>
        <v>0</v>
      </c>
      <c r="N86" s="7">
        <f>Tabelle25[[#This Row],[Precursor 1 amount
voc4cat:sample mass
voc4cat:0007038]]</f>
        <v>0</v>
      </c>
      <c r="O86" s="7">
        <f>Tabelle25[[#This Row],[Precursor 2 
precursor: voc4cat:0007794]]</f>
        <v>0</v>
      </c>
      <c r="P86" s="7">
        <f>Tabelle25[[#This Row],[Precursor 2 
dct:identifier
SMILES, InChi or InChiKey]]</f>
        <v>0</v>
      </c>
      <c r="Q86" s="7">
        <f>Tabelle25[[#This Row],[Precursor 2 amount
voc4cat:sample mass
voc4cat:0007038]]</f>
        <v>0</v>
      </c>
      <c r="R86" s="7">
        <f>Tabelle25[[#This Row],[Precursor 3 
precursor: voc4cat:0007794]]</f>
        <v>0</v>
      </c>
      <c r="S86" s="7">
        <f>Tabelle25[[#This Row],[Precursor 3 
dct:identifier
SMILES, InChi or InChiKey]]</f>
        <v>0</v>
      </c>
      <c r="T86" s="7">
        <f>Tabelle25[[#This Row],[Precursor 3 amount
voc4cat:sample mass
voc4cat:0007038]]</f>
        <v>0</v>
      </c>
      <c r="U86" s="7">
        <f>Tabelle25[[#This Row],[Precursor 4 
precursor: voc4cat:0007794]]</f>
        <v>0</v>
      </c>
      <c r="V86" s="7">
        <f>Tabelle25[[#This Row],[Precursor 4 
dct:identifier
SMILES, InChi or InChiKey]]</f>
        <v>0</v>
      </c>
      <c r="W86" s="7">
        <f>Tabelle25[[#This Row],[Precursor 4 amount
voc4cat:sample mass
voc4cat:0007038]]</f>
        <v>0</v>
      </c>
      <c r="X86" s="7">
        <f>Tabelle25[[#This Row],[additive
voc4cat:0007793]]</f>
        <v>0</v>
      </c>
      <c r="Y86" s="7">
        <f>Tabelle25[[#This Row],[additive
dct:identifier
SMILES, InChi or InChiKey]]</f>
        <v>0</v>
      </c>
      <c r="Z86" s="7">
        <f>Tabelle25[[#This Row],[Additive amount
voc4cat:sample mass
voc4cat:0007038]]</f>
        <v>0</v>
      </c>
      <c r="AA86" s="7">
        <f>Tabelle25[[#This Row],[Metal]]</f>
        <v>0</v>
      </c>
      <c r="AB86" s="7">
        <f>Tabelle25[[#This Row],[Metal loading, nominal (wt%)
voc4cat:0007815]]</f>
        <v>0</v>
      </c>
      <c r="AC86" s="7">
        <f>Tabelle25[[#This Row],[molar ratio metal additive]]</f>
        <v>0</v>
      </c>
      <c r="AD86" s="7">
        <f>Tabelle25[[#This Row],[molar ratio metal metal]]</f>
        <v>0</v>
      </c>
    </row>
    <row r="87" spans="1:30" ht="15" customHeight="1">
      <c r="A87" s="7">
        <f>Tabelle25[[#This Row],[institution
voc4cat:0007842]]</f>
        <v>0</v>
      </c>
      <c r="B87" s="7">
        <f>Tabelle25[[#This Row],[catalyst barcode  
(barcode: AFO_/result'#AFR:0002690)]]</f>
        <v>0</v>
      </c>
      <c r="C87" s="7">
        <f>Tabelle25[[#This Row],[identifier  
dct]]</f>
        <v>0</v>
      </c>
      <c r="D87" s="7">
        <f>Tabelle25[[#This Row],[catalyst
voc4cat:0007014]]</f>
        <v>0</v>
      </c>
      <c r="E87" s="7">
        <f>Tabelle25[[#This Row],[Name
dct:title]]</f>
        <v>0</v>
      </c>
      <c r="F87" s="7">
        <f>Tabelle25[[#This Row],[Preparation method
voc4cat:0007016]]</f>
        <v>0</v>
      </c>
      <c r="G87" s="7">
        <f>Tabelle25[[#This Row],[Support  
voc4cat:0007825]]</f>
        <v>0</v>
      </c>
      <c r="H87" s="7">
        <f>Tabelle25[[#This Row],[Support Barcode
(barcode: AFO_/result'#AFR:0002690)]]</f>
        <v>0</v>
      </c>
      <c r="I87" s="7">
        <f>Tabelle25[[#This Row],[Support identifier
dct]]</f>
        <v>0</v>
      </c>
      <c r="J87" s="7">
        <f>Tabelle25[[#This Row],[Support shape]]</f>
        <v>0</v>
      </c>
      <c r="K87" s="7">
        <f>Tabelle25[[#This Row],[Support Pretreatment
voc4cat:sample pretreatment voc4cat:0000123]]</f>
        <v>0</v>
      </c>
      <c r="L87" s="7">
        <f>Tabelle25[[#This Row],[Precursor 1 
precursor: voc4cat:0007794]]</f>
        <v>0</v>
      </c>
      <c r="M87" s="7">
        <f>Tabelle25[[#This Row],[Precursor 1 
dct:identifier
SMILES, InChi or InChiKey]]</f>
        <v>0</v>
      </c>
      <c r="N87" s="7">
        <f>Tabelle25[[#This Row],[Precursor 1 amount
voc4cat:sample mass
voc4cat:0007038]]</f>
        <v>0</v>
      </c>
      <c r="O87" s="7">
        <f>Tabelle25[[#This Row],[Precursor 2 
precursor: voc4cat:0007794]]</f>
        <v>0</v>
      </c>
      <c r="P87" s="7">
        <f>Tabelle25[[#This Row],[Precursor 2 
dct:identifier
SMILES, InChi or InChiKey]]</f>
        <v>0</v>
      </c>
      <c r="Q87" s="7">
        <f>Tabelle25[[#This Row],[Precursor 2 amount
voc4cat:sample mass
voc4cat:0007038]]</f>
        <v>0</v>
      </c>
      <c r="R87" s="7">
        <f>Tabelle25[[#This Row],[Precursor 3 
precursor: voc4cat:0007794]]</f>
        <v>0</v>
      </c>
      <c r="S87" s="7">
        <f>Tabelle25[[#This Row],[Precursor 3 
dct:identifier
SMILES, InChi or InChiKey]]</f>
        <v>0</v>
      </c>
      <c r="T87" s="7">
        <f>Tabelle25[[#This Row],[Precursor 3 amount
voc4cat:sample mass
voc4cat:0007038]]</f>
        <v>0</v>
      </c>
      <c r="U87" s="7">
        <f>Tabelle25[[#This Row],[Precursor 4 
precursor: voc4cat:0007794]]</f>
        <v>0</v>
      </c>
      <c r="V87" s="7">
        <f>Tabelle25[[#This Row],[Precursor 4 
dct:identifier
SMILES, InChi or InChiKey]]</f>
        <v>0</v>
      </c>
      <c r="W87" s="7">
        <f>Tabelle25[[#This Row],[Precursor 4 amount
voc4cat:sample mass
voc4cat:0007038]]</f>
        <v>0</v>
      </c>
      <c r="X87" s="7">
        <f>Tabelle25[[#This Row],[additive
voc4cat:0007793]]</f>
        <v>0</v>
      </c>
      <c r="Y87" s="7">
        <f>Tabelle25[[#This Row],[additive
dct:identifier
SMILES, InChi or InChiKey]]</f>
        <v>0</v>
      </c>
      <c r="Z87" s="7">
        <f>Tabelle25[[#This Row],[Additive amount
voc4cat:sample mass
voc4cat:0007038]]</f>
        <v>0</v>
      </c>
      <c r="AA87" s="7">
        <f>Tabelle25[[#This Row],[Metal]]</f>
        <v>0</v>
      </c>
      <c r="AB87" s="7">
        <f>Tabelle25[[#This Row],[Metal loading, nominal (wt%)
voc4cat:0007815]]</f>
        <v>0</v>
      </c>
      <c r="AC87" s="7">
        <f>Tabelle25[[#This Row],[molar ratio metal additive]]</f>
        <v>0</v>
      </c>
      <c r="AD87" s="7">
        <f>Tabelle25[[#This Row],[molar ratio metal metal]]</f>
        <v>0</v>
      </c>
    </row>
    <row r="88" spans="1:30" ht="15" customHeight="1">
      <c r="A88" s="7">
        <f>Tabelle25[[#This Row],[institution
voc4cat:0007842]]</f>
        <v>0</v>
      </c>
      <c r="B88" s="7">
        <f>Tabelle25[[#This Row],[catalyst barcode  
(barcode: AFO_/result'#AFR:0002690)]]</f>
        <v>0</v>
      </c>
      <c r="C88" s="7">
        <f>Tabelle25[[#This Row],[identifier  
dct]]</f>
        <v>0</v>
      </c>
      <c r="D88" s="7">
        <f>Tabelle25[[#This Row],[catalyst
voc4cat:0007014]]</f>
        <v>0</v>
      </c>
      <c r="E88" s="7">
        <f>Tabelle25[[#This Row],[Name
dct:title]]</f>
        <v>0</v>
      </c>
      <c r="F88" s="7">
        <f>Tabelle25[[#This Row],[Preparation method
voc4cat:0007016]]</f>
        <v>0</v>
      </c>
      <c r="G88" s="7">
        <f>Tabelle25[[#This Row],[Support  
voc4cat:0007825]]</f>
        <v>0</v>
      </c>
      <c r="H88" s="7">
        <f>Tabelle25[[#This Row],[Support Barcode
(barcode: AFO_/result'#AFR:0002690)]]</f>
        <v>0</v>
      </c>
      <c r="I88" s="7">
        <f>Tabelle25[[#This Row],[Support identifier
dct]]</f>
        <v>0</v>
      </c>
      <c r="J88" s="7">
        <f>Tabelle25[[#This Row],[Support shape]]</f>
        <v>0</v>
      </c>
      <c r="K88" s="7">
        <f>Tabelle25[[#This Row],[Support Pretreatment
voc4cat:sample pretreatment voc4cat:0000123]]</f>
        <v>0</v>
      </c>
      <c r="L88" s="7">
        <f>Tabelle25[[#This Row],[Precursor 1 
precursor: voc4cat:0007794]]</f>
        <v>0</v>
      </c>
      <c r="M88" s="7">
        <f>Tabelle25[[#This Row],[Precursor 1 
dct:identifier
SMILES, InChi or InChiKey]]</f>
        <v>0</v>
      </c>
      <c r="N88" s="7">
        <f>Tabelle25[[#This Row],[Precursor 1 amount
voc4cat:sample mass
voc4cat:0007038]]</f>
        <v>0</v>
      </c>
      <c r="O88" s="7">
        <f>Tabelle25[[#This Row],[Precursor 2 
precursor: voc4cat:0007794]]</f>
        <v>0</v>
      </c>
      <c r="P88" s="7">
        <f>Tabelle25[[#This Row],[Precursor 2 
dct:identifier
SMILES, InChi or InChiKey]]</f>
        <v>0</v>
      </c>
      <c r="Q88" s="7">
        <f>Tabelle25[[#This Row],[Precursor 2 amount
voc4cat:sample mass
voc4cat:0007038]]</f>
        <v>0</v>
      </c>
      <c r="R88" s="7">
        <f>Tabelle25[[#This Row],[Precursor 3 
precursor: voc4cat:0007794]]</f>
        <v>0</v>
      </c>
      <c r="S88" s="7">
        <f>Tabelle25[[#This Row],[Precursor 3 
dct:identifier
SMILES, InChi or InChiKey]]</f>
        <v>0</v>
      </c>
      <c r="T88" s="7">
        <f>Tabelle25[[#This Row],[Precursor 3 amount
voc4cat:sample mass
voc4cat:0007038]]</f>
        <v>0</v>
      </c>
      <c r="U88" s="7">
        <f>Tabelle25[[#This Row],[Precursor 4 
precursor: voc4cat:0007794]]</f>
        <v>0</v>
      </c>
      <c r="V88" s="7">
        <f>Tabelle25[[#This Row],[Precursor 4 
dct:identifier
SMILES, InChi or InChiKey]]</f>
        <v>0</v>
      </c>
      <c r="W88" s="7">
        <f>Tabelle25[[#This Row],[Precursor 4 amount
voc4cat:sample mass
voc4cat:0007038]]</f>
        <v>0</v>
      </c>
      <c r="X88" s="7">
        <f>Tabelle25[[#This Row],[additive
voc4cat:0007793]]</f>
        <v>0</v>
      </c>
      <c r="Y88" s="7">
        <f>Tabelle25[[#This Row],[additive
dct:identifier
SMILES, InChi or InChiKey]]</f>
        <v>0</v>
      </c>
      <c r="Z88" s="7">
        <f>Tabelle25[[#This Row],[Additive amount
voc4cat:sample mass
voc4cat:0007038]]</f>
        <v>0</v>
      </c>
      <c r="AA88" s="7">
        <f>Tabelle25[[#This Row],[Metal]]</f>
        <v>0</v>
      </c>
      <c r="AB88" s="7">
        <f>Tabelle25[[#This Row],[Metal loading, nominal (wt%)
voc4cat:0007815]]</f>
        <v>0</v>
      </c>
      <c r="AC88" s="7">
        <f>Tabelle25[[#This Row],[molar ratio metal additive]]</f>
        <v>0</v>
      </c>
      <c r="AD88" s="7">
        <f>Tabelle25[[#This Row],[molar ratio metal metal]]</f>
        <v>0</v>
      </c>
    </row>
    <row r="89" spans="1:30" ht="15" customHeight="1">
      <c r="A89" s="7">
        <f>Tabelle25[[#This Row],[institution
voc4cat:0007842]]</f>
        <v>0</v>
      </c>
      <c r="B89" s="7">
        <f>Tabelle25[[#This Row],[catalyst barcode  
(barcode: AFO_/result'#AFR:0002690)]]</f>
        <v>0</v>
      </c>
      <c r="C89" s="7">
        <f>Tabelle25[[#This Row],[identifier  
dct]]</f>
        <v>0</v>
      </c>
      <c r="D89" s="7">
        <f>Tabelle25[[#This Row],[catalyst
voc4cat:0007014]]</f>
        <v>0</v>
      </c>
      <c r="E89" s="7">
        <f>Tabelle25[[#This Row],[Name
dct:title]]</f>
        <v>0</v>
      </c>
      <c r="F89" s="7">
        <f>Tabelle25[[#This Row],[Preparation method
voc4cat:0007016]]</f>
        <v>0</v>
      </c>
      <c r="G89" s="7">
        <f>Tabelle25[[#This Row],[Support  
voc4cat:0007825]]</f>
        <v>0</v>
      </c>
      <c r="H89" s="7">
        <f>Tabelle25[[#This Row],[Support Barcode
(barcode: AFO_/result'#AFR:0002690)]]</f>
        <v>0</v>
      </c>
      <c r="I89" s="7">
        <f>Tabelle25[[#This Row],[Support identifier
dct]]</f>
        <v>0</v>
      </c>
      <c r="J89" s="7">
        <f>Tabelle25[[#This Row],[Support shape]]</f>
        <v>0</v>
      </c>
      <c r="K89" s="7">
        <f>Tabelle25[[#This Row],[Support Pretreatment
voc4cat:sample pretreatment voc4cat:0000123]]</f>
        <v>0</v>
      </c>
      <c r="L89" s="7">
        <f>Tabelle25[[#This Row],[Precursor 1 
precursor: voc4cat:0007794]]</f>
        <v>0</v>
      </c>
      <c r="M89" s="7">
        <f>Tabelle25[[#This Row],[Precursor 1 
dct:identifier
SMILES, InChi or InChiKey]]</f>
        <v>0</v>
      </c>
      <c r="N89" s="7">
        <f>Tabelle25[[#This Row],[Precursor 1 amount
voc4cat:sample mass
voc4cat:0007038]]</f>
        <v>0</v>
      </c>
      <c r="O89" s="7">
        <f>Tabelle25[[#This Row],[Precursor 2 
precursor: voc4cat:0007794]]</f>
        <v>0</v>
      </c>
      <c r="P89" s="7">
        <f>Tabelle25[[#This Row],[Precursor 2 
dct:identifier
SMILES, InChi or InChiKey]]</f>
        <v>0</v>
      </c>
      <c r="Q89" s="7">
        <f>Tabelle25[[#This Row],[Precursor 2 amount
voc4cat:sample mass
voc4cat:0007038]]</f>
        <v>0</v>
      </c>
      <c r="R89" s="7">
        <f>Tabelle25[[#This Row],[Precursor 3 
precursor: voc4cat:0007794]]</f>
        <v>0</v>
      </c>
      <c r="S89" s="7">
        <f>Tabelle25[[#This Row],[Precursor 3 
dct:identifier
SMILES, InChi or InChiKey]]</f>
        <v>0</v>
      </c>
      <c r="T89" s="7">
        <f>Tabelle25[[#This Row],[Precursor 3 amount
voc4cat:sample mass
voc4cat:0007038]]</f>
        <v>0</v>
      </c>
      <c r="U89" s="7">
        <f>Tabelle25[[#This Row],[Precursor 4 
precursor: voc4cat:0007794]]</f>
        <v>0</v>
      </c>
      <c r="V89" s="7">
        <f>Tabelle25[[#This Row],[Precursor 4 
dct:identifier
SMILES, InChi or InChiKey]]</f>
        <v>0</v>
      </c>
      <c r="W89" s="7">
        <f>Tabelle25[[#This Row],[Precursor 4 amount
voc4cat:sample mass
voc4cat:0007038]]</f>
        <v>0</v>
      </c>
      <c r="X89" s="7">
        <f>Tabelle25[[#This Row],[additive
voc4cat:0007793]]</f>
        <v>0</v>
      </c>
      <c r="Y89" s="7">
        <f>Tabelle25[[#This Row],[additive
dct:identifier
SMILES, InChi or InChiKey]]</f>
        <v>0</v>
      </c>
      <c r="Z89" s="7">
        <f>Tabelle25[[#This Row],[Additive amount
voc4cat:sample mass
voc4cat:0007038]]</f>
        <v>0</v>
      </c>
      <c r="AA89" s="7">
        <f>Tabelle25[[#This Row],[Metal]]</f>
        <v>0</v>
      </c>
      <c r="AB89" s="7">
        <f>Tabelle25[[#This Row],[Metal loading, nominal (wt%)
voc4cat:0007815]]</f>
        <v>0</v>
      </c>
      <c r="AC89" s="7">
        <f>Tabelle25[[#This Row],[molar ratio metal additive]]</f>
        <v>0</v>
      </c>
      <c r="AD89" s="7">
        <f>Tabelle25[[#This Row],[molar ratio metal metal]]</f>
        <v>0</v>
      </c>
    </row>
    <row r="90" spans="1:30" ht="15" customHeight="1">
      <c r="A90" s="7">
        <f>Tabelle25[[#This Row],[institution
voc4cat:0007842]]</f>
        <v>0</v>
      </c>
      <c r="B90" s="7">
        <f>Tabelle25[[#This Row],[catalyst barcode  
(barcode: AFO_/result'#AFR:0002690)]]</f>
        <v>0</v>
      </c>
      <c r="C90" s="7">
        <f>Tabelle25[[#This Row],[identifier  
dct]]</f>
        <v>0</v>
      </c>
      <c r="D90" s="7">
        <f>Tabelle25[[#This Row],[catalyst
voc4cat:0007014]]</f>
        <v>0</v>
      </c>
      <c r="E90" s="7">
        <f>Tabelle25[[#This Row],[Name
dct:title]]</f>
        <v>0</v>
      </c>
      <c r="F90" s="7">
        <f>Tabelle25[[#This Row],[Preparation method
voc4cat:0007016]]</f>
        <v>0</v>
      </c>
      <c r="G90" s="7">
        <f>Tabelle25[[#This Row],[Support  
voc4cat:0007825]]</f>
        <v>0</v>
      </c>
      <c r="H90" s="7">
        <f>Tabelle25[[#This Row],[Support Barcode
(barcode: AFO_/result'#AFR:0002690)]]</f>
        <v>0</v>
      </c>
      <c r="I90" s="7">
        <f>Tabelle25[[#This Row],[Support identifier
dct]]</f>
        <v>0</v>
      </c>
      <c r="J90" s="7">
        <f>Tabelle25[[#This Row],[Support shape]]</f>
        <v>0</v>
      </c>
      <c r="K90" s="7">
        <f>Tabelle25[[#This Row],[Support Pretreatment
voc4cat:sample pretreatment voc4cat:0000123]]</f>
        <v>0</v>
      </c>
      <c r="L90" s="7">
        <f>Tabelle25[[#This Row],[Precursor 1 
precursor: voc4cat:0007794]]</f>
        <v>0</v>
      </c>
      <c r="M90" s="7">
        <f>Tabelle25[[#This Row],[Precursor 1 
dct:identifier
SMILES, InChi or InChiKey]]</f>
        <v>0</v>
      </c>
      <c r="N90" s="7">
        <f>Tabelle25[[#This Row],[Precursor 1 amount
voc4cat:sample mass
voc4cat:0007038]]</f>
        <v>0</v>
      </c>
      <c r="O90" s="7">
        <f>Tabelle25[[#This Row],[Precursor 2 
precursor: voc4cat:0007794]]</f>
        <v>0</v>
      </c>
      <c r="P90" s="7">
        <f>Tabelle25[[#This Row],[Precursor 2 
dct:identifier
SMILES, InChi or InChiKey]]</f>
        <v>0</v>
      </c>
      <c r="Q90" s="7">
        <f>Tabelle25[[#This Row],[Precursor 2 amount
voc4cat:sample mass
voc4cat:0007038]]</f>
        <v>0</v>
      </c>
      <c r="R90" s="7">
        <f>Tabelle25[[#This Row],[Precursor 3 
precursor: voc4cat:0007794]]</f>
        <v>0</v>
      </c>
      <c r="S90" s="7">
        <f>Tabelle25[[#This Row],[Precursor 3 
dct:identifier
SMILES, InChi or InChiKey]]</f>
        <v>0</v>
      </c>
      <c r="T90" s="7">
        <f>Tabelle25[[#This Row],[Precursor 3 amount
voc4cat:sample mass
voc4cat:0007038]]</f>
        <v>0</v>
      </c>
      <c r="U90" s="7">
        <f>Tabelle25[[#This Row],[Precursor 4 
precursor: voc4cat:0007794]]</f>
        <v>0</v>
      </c>
      <c r="V90" s="7">
        <f>Tabelle25[[#This Row],[Precursor 4 
dct:identifier
SMILES, InChi or InChiKey]]</f>
        <v>0</v>
      </c>
      <c r="W90" s="7">
        <f>Tabelle25[[#This Row],[Precursor 4 amount
voc4cat:sample mass
voc4cat:0007038]]</f>
        <v>0</v>
      </c>
      <c r="X90" s="7">
        <f>Tabelle25[[#This Row],[additive
voc4cat:0007793]]</f>
        <v>0</v>
      </c>
      <c r="Y90" s="7">
        <f>Tabelle25[[#This Row],[additive
dct:identifier
SMILES, InChi or InChiKey]]</f>
        <v>0</v>
      </c>
      <c r="Z90" s="7">
        <f>Tabelle25[[#This Row],[Additive amount
voc4cat:sample mass
voc4cat:0007038]]</f>
        <v>0</v>
      </c>
      <c r="AA90" s="7">
        <f>Tabelle25[[#This Row],[Metal]]</f>
        <v>0</v>
      </c>
      <c r="AB90" s="7">
        <f>Tabelle25[[#This Row],[Metal loading, nominal (wt%)
voc4cat:0007815]]</f>
        <v>0</v>
      </c>
      <c r="AC90" s="7">
        <f>Tabelle25[[#This Row],[molar ratio metal additive]]</f>
        <v>0</v>
      </c>
      <c r="AD90" s="7">
        <f>Tabelle25[[#This Row],[molar ratio metal metal]]</f>
        <v>0</v>
      </c>
    </row>
    <row r="91" spans="1:30" ht="15" customHeight="1">
      <c r="A91" s="7">
        <f>Tabelle25[[#This Row],[institution
voc4cat:0007842]]</f>
        <v>0</v>
      </c>
      <c r="B91" s="7">
        <f>Tabelle25[[#This Row],[catalyst barcode  
(barcode: AFO_/result'#AFR:0002690)]]</f>
        <v>0</v>
      </c>
      <c r="C91" s="7">
        <f>Tabelle25[[#This Row],[identifier  
dct]]</f>
        <v>0</v>
      </c>
      <c r="D91" s="7">
        <f>Tabelle25[[#This Row],[catalyst
voc4cat:0007014]]</f>
        <v>0</v>
      </c>
      <c r="E91" s="7">
        <f>Tabelle25[[#This Row],[Name
dct:title]]</f>
        <v>0</v>
      </c>
      <c r="F91" s="7">
        <f>Tabelle25[[#This Row],[Preparation method
voc4cat:0007016]]</f>
        <v>0</v>
      </c>
      <c r="G91" s="7">
        <f>Tabelle25[[#This Row],[Support  
voc4cat:0007825]]</f>
        <v>0</v>
      </c>
      <c r="H91" s="7">
        <f>Tabelle25[[#This Row],[Support Barcode
(barcode: AFO_/result'#AFR:0002690)]]</f>
        <v>0</v>
      </c>
      <c r="I91" s="7">
        <f>Tabelle25[[#This Row],[Support identifier
dct]]</f>
        <v>0</v>
      </c>
      <c r="J91" s="7">
        <f>Tabelle25[[#This Row],[Support shape]]</f>
        <v>0</v>
      </c>
      <c r="K91" s="7">
        <f>Tabelle25[[#This Row],[Support Pretreatment
voc4cat:sample pretreatment voc4cat:0000123]]</f>
        <v>0</v>
      </c>
      <c r="L91" s="7">
        <f>Tabelle25[[#This Row],[Precursor 1 
precursor: voc4cat:0007794]]</f>
        <v>0</v>
      </c>
      <c r="M91" s="7">
        <f>Tabelle25[[#This Row],[Precursor 1 
dct:identifier
SMILES, InChi or InChiKey]]</f>
        <v>0</v>
      </c>
      <c r="N91" s="7">
        <f>Tabelle25[[#This Row],[Precursor 1 amount
voc4cat:sample mass
voc4cat:0007038]]</f>
        <v>0</v>
      </c>
      <c r="O91" s="7">
        <f>Tabelle25[[#This Row],[Precursor 2 
precursor: voc4cat:0007794]]</f>
        <v>0</v>
      </c>
      <c r="P91" s="7">
        <f>Tabelle25[[#This Row],[Precursor 2 
dct:identifier
SMILES, InChi or InChiKey]]</f>
        <v>0</v>
      </c>
      <c r="Q91" s="7">
        <f>Tabelle25[[#This Row],[Precursor 2 amount
voc4cat:sample mass
voc4cat:0007038]]</f>
        <v>0</v>
      </c>
      <c r="R91" s="7">
        <f>Tabelle25[[#This Row],[Precursor 3 
precursor: voc4cat:0007794]]</f>
        <v>0</v>
      </c>
      <c r="S91" s="7">
        <f>Tabelle25[[#This Row],[Precursor 3 
dct:identifier
SMILES, InChi or InChiKey]]</f>
        <v>0</v>
      </c>
      <c r="T91" s="7">
        <f>Tabelle25[[#This Row],[Precursor 3 amount
voc4cat:sample mass
voc4cat:0007038]]</f>
        <v>0</v>
      </c>
      <c r="U91" s="7">
        <f>Tabelle25[[#This Row],[Precursor 4 
precursor: voc4cat:0007794]]</f>
        <v>0</v>
      </c>
      <c r="V91" s="7">
        <f>Tabelle25[[#This Row],[Precursor 4 
dct:identifier
SMILES, InChi or InChiKey]]</f>
        <v>0</v>
      </c>
      <c r="W91" s="7">
        <f>Tabelle25[[#This Row],[Precursor 4 amount
voc4cat:sample mass
voc4cat:0007038]]</f>
        <v>0</v>
      </c>
      <c r="X91" s="7">
        <f>Tabelle25[[#This Row],[additive
voc4cat:0007793]]</f>
        <v>0</v>
      </c>
      <c r="Y91" s="7">
        <f>Tabelle25[[#This Row],[additive
dct:identifier
SMILES, InChi or InChiKey]]</f>
        <v>0</v>
      </c>
      <c r="Z91" s="7">
        <f>Tabelle25[[#This Row],[Additive amount
voc4cat:sample mass
voc4cat:0007038]]</f>
        <v>0</v>
      </c>
      <c r="AA91" s="7">
        <f>Tabelle25[[#This Row],[Metal]]</f>
        <v>0</v>
      </c>
      <c r="AB91" s="7">
        <f>Tabelle25[[#This Row],[Metal loading, nominal (wt%)
voc4cat:0007815]]</f>
        <v>0</v>
      </c>
      <c r="AC91" s="7">
        <f>Tabelle25[[#This Row],[molar ratio metal additive]]</f>
        <v>0</v>
      </c>
      <c r="AD91" s="7">
        <f>Tabelle25[[#This Row],[molar ratio metal metal]]</f>
        <v>0</v>
      </c>
    </row>
    <row r="92" spans="1:30" ht="15" customHeight="1">
      <c r="A92" s="7">
        <f>Tabelle25[[#This Row],[institution
voc4cat:0007842]]</f>
        <v>0</v>
      </c>
      <c r="B92" s="7">
        <f>Tabelle25[[#This Row],[catalyst barcode  
(barcode: AFO_/result'#AFR:0002690)]]</f>
        <v>0</v>
      </c>
      <c r="C92" s="7">
        <f>Tabelle25[[#This Row],[identifier  
dct]]</f>
        <v>0</v>
      </c>
      <c r="D92" s="7">
        <f>Tabelle25[[#This Row],[catalyst
voc4cat:0007014]]</f>
        <v>0</v>
      </c>
      <c r="E92" s="7">
        <f>Tabelle25[[#This Row],[Name
dct:title]]</f>
        <v>0</v>
      </c>
      <c r="F92" s="7">
        <f>Tabelle25[[#This Row],[Preparation method
voc4cat:0007016]]</f>
        <v>0</v>
      </c>
      <c r="G92" s="7">
        <f>Tabelle25[[#This Row],[Support  
voc4cat:0007825]]</f>
        <v>0</v>
      </c>
      <c r="H92" s="7">
        <f>Tabelle25[[#This Row],[Support Barcode
(barcode: AFO_/result'#AFR:0002690)]]</f>
        <v>0</v>
      </c>
      <c r="I92" s="7">
        <f>Tabelle25[[#This Row],[Support identifier
dct]]</f>
        <v>0</v>
      </c>
      <c r="J92" s="7">
        <f>Tabelle25[[#This Row],[Support shape]]</f>
        <v>0</v>
      </c>
      <c r="K92" s="7">
        <f>Tabelle25[[#This Row],[Support Pretreatment
voc4cat:sample pretreatment voc4cat:0000123]]</f>
        <v>0</v>
      </c>
      <c r="L92" s="7">
        <f>Tabelle25[[#This Row],[Precursor 1 
precursor: voc4cat:0007794]]</f>
        <v>0</v>
      </c>
      <c r="M92" s="7">
        <f>Tabelle25[[#This Row],[Precursor 1 
dct:identifier
SMILES, InChi or InChiKey]]</f>
        <v>0</v>
      </c>
      <c r="N92" s="7">
        <f>Tabelle25[[#This Row],[Precursor 1 amount
voc4cat:sample mass
voc4cat:0007038]]</f>
        <v>0</v>
      </c>
      <c r="O92" s="7">
        <f>Tabelle25[[#This Row],[Precursor 2 
precursor: voc4cat:0007794]]</f>
        <v>0</v>
      </c>
      <c r="P92" s="7">
        <f>Tabelle25[[#This Row],[Precursor 2 
dct:identifier
SMILES, InChi or InChiKey]]</f>
        <v>0</v>
      </c>
      <c r="Q92" s="7">
        <f>Tabelle25[[#This Row],[Precursor 2 amount
voc4cat:sample mass
voc4cat:0007038]]</f>
        <v>0</v>
      </c>
      <c r="R92" s="7">
        <f>Tabelle25[[#This Row],[Precursor 3 
precursor: voc4cat:0007794]]</f>
        <v>0</v>
      </c>
      <c r="S92" s="7">
        <f>Tabelle25[[#This Row],[Precursor 3 
dct:identifier
SMILES, InChi or InChiKey]]</f>
        <v>0</v>
      </c>
      <c r="T92" s="7">
        <f>Tabelle25[[#This Row],[Precursor 3 amount
voc4cat:sample mass
voc4cat:0007038]]</f>
        <v>0</v>
      </c>
      <c r="U92" s="7">
        <f>Tabelle25[[#This Row],[Precursor 4 
precursor: voc4cat:0007794]]</f>
        <v>0</v>
      </c>
      <c r="V92" s="7">
        <f>Tabelle25[[#This Row],[Precursor 4 
dct:identifier
SMILES, InChi or InChiKey]]</f>
        <v>0</v>
      </c>
      <c r="W92" s="7">
        <f>Tabelle25[[#This Row],[Precursor 4 amount
voc4cat:sample mass
voc4cat:0007038]]</f>
        <v>0</v>
      </c>
      <c r="X92" s="7">
        <f>Tabelle25[[#This Row],[additive
voc4cat:0007793]]</f>
        <v>0</v>
      </c>
      <c r="Y92" s="7">
        <f>Tabelle25[[#This Row],[additive
dct:identifier
SMILES, InChi or InChiKey]]</f>
        <v>0</v>
      </c>
      <c r="Z92" s="7">
        <f>Tabelle25[[#This Row],[Additive amount
voc4cat:sample mass
voc4cat:0007038]]</f>
        <v>0</v>
      </c>
      <c r="AA92" s="7">
        <f>Tabelle25[[#This Row],[Metal]]</f>
        <v>0</v>
      </c>
      <c r="AB92" s="7">
        <f>Tabelle25[[#This Row],[Metal loading, nominal (wt%)
voc4cat:0007815]]</f>
        <v>0</v>
      </c>
      <c r="AC92" s="7">
        <f>Tabelle25[[#This Row],[molar ratio metal additive]]</f>
        <v>0</v>
      </c>
      <c r="AD92" s="7">
        <f>Tabelle25[[#This Row],[molar ratio metal metal]]</f>
        <v>0</v>
      </c>
    </row>
    <row r="93" spans="1:30" ht="15" customHeight="1">
      <c r="A93" s="7">
        <f>Tabelle25[[#This Row],[institution
voc4cat:0007842]]</f>
        <v>0</v>
      </c>
      <c r="B93" s="7">
        <f>Tabelle25[[#This Row],[catalyst barcode  
(barcode: AFO_/result'#AFR:0002690)]]</f>
        <v>0</v>
      </c>
      <c r="C93" s="7">
        <f>Tabelle25[[#This Row],[identifier  
dct]]</f>
        <v>0</v>
      </c>
      <c r="D93" s="7">
        <f>Tabelle25[[#This Row],[catalyst
voc4cat:0007014]]</f>
        <v>0</v>
      </c>
      <c r="E93" s="7">
        <f>Tabelle25[[#This Row],[Name
dct:title]]</f>
        <v>0</v>
      </c>
      <c r="F93" s="7">
        <f>Tabelle25[[#This Row],[Preparation method
voc4cat:0007016]]</f>
        <v>0</v>
      </c>
      <c r="G93" s="7">
        <f>Tabelle25[[#This Row],[Support  
voc4cat:0007825]]</f>
        <v>0</v>
      </c>
      <c r="H93" s="7">
        <f>Tabelle25[[#This Row],[Support Barcode
(barcode: AFO_/result'#AFR:0002690)]]</f>
        <v>0</v>
      </c>
      <c r="I93" s="7">
        <f>Tabelle25[[#This Row],[Support identifier
dct]]</f>
        <v>0</v>
      </c>
      <c r="J93" s="7">
        <f>Tabelle25[[#This Row],[Support shape]]</f>
        <v>0</v>
      </c>
      <c r="K93" s="7">
        <f>Tabelle25[[#This Row],[Support Pretreatment
voc4cat:sample pretreatment voc4cat:0000123]]</f>
        <v>0</v>
      </c>
      <c r="L93" s="7">
        <f>Tabelle25[[#This Row],[Precursor 1 
precursor: voc4cat:0007794]]</f>
        <v>0</v>
      </c>
      <c r="M93" s="7">
        <f>Tabelle25[[#This Row],[Precursor 1 
dct:identifier
SMILES, InChi or InChiKey]]</f>
        <v>0</v>
      </c>
      <c r="N93" s="7">
        <f>Tabelle25[[#This Row],[Precursor 1 amount
voc4cat:sample mass
voc4cat:0007038]]</f>
        <v>0</v>
      </c>
      <c r="O93" s="7">
        <f>Tabelle25[[#This Row],[Precursor 2 
precursor: voc4cat:0007794]]</f>
        <v>0</v>
      </c>
      <c r="P93" s="7">
        <f>Tabelle25[[#This Row],[Precursor 2 
dct:identifier
SMILES, InChi or InChiKey]]</f>
        <v>0</v>
      </c>
      <c r="Q93" s="7">
        <f>Tabelle25[[#This Row],[Precursor 2 amount
voc4cat:sample mass
voc4cat:0007038]]</f>
        <v>0</v>
      </c>
      <c r="R93" s="7">
        <f>Tabelle25[[#This Row],[Precursor 3 
precursor: voc4cat:0007794]]</f>
        <v>0</v>
      </c>
      <c r="S93" s="7">
        <f>Tabelle25[[#This Row],[Precursor 3 
dct:identifier
SMILES, InChi or InChiKey]]</f>
        <v>0</v>
      </c>
      <c r="T93" s="7">
        <f>Tabelle25[[#This Row],[Precursor 3 amount
voc4cat:sample mass
voc4cat:0007038]]</f>
        <v>0</v>
      </c>
      <c r="U93" s="7">
        <f>Tabelle25[[#This Row],[Precursor 4 
precursor: voc4cat:0007794]]</f>
        <v>0</v>
      </c>
      <c r="V93" s="7">
        <f>Tabelle25[[#This Row],[Precursor 4 
dct:identifier
SMILES, InChi or InChiKey]]</f>
        <v>0</v>
      </c>
      <c r="W93" s="7">
        <f>Tabelle25[[#This Row],[Precursor 4 amount
voc4cat:sample mass
voc4cat:0007038]]</f>
        <v>0</v>
      </c>
      <c r="X93" s="7">
        <f>Tabelle25[[#This Row],[additive
voc4cat:0007793]]</f>
        <v>0</v>
      </c>
      <c r="Y93" s="7">
        <f>Tabelle25[[#This Row],[additive
dct:identifier
SMILES, InChi or InChiKey]]</f>
        <v>0</v>
      </c>
      <c r="Z93" s="7">
        <f>Tabelle25[[#This Row],[Additive amount
voc4cat:sample mass
voc4cat:0007038]]</f>
        <v>0</v>
      </c>
      <c r="AA93" s="7">
        <f>Tabelle25[[#This Row],[Metal]]</f>
        <v>0</v>
      </c>
      <c r="AB93" s="7">
        <f>Tabelle25[[#This Row],[Metal loading, nominal (wt%)
voc4cat:0007815]]</f>
        <v>0</v>
      </c>
      <c r="AC93" s="7">
        <f>Tabelle25[[#This Row],[molar ratio metal additive]]</f>
        <v>0</v>
      </c>
      <c r="AD93" s="7">
        <f>Tabelle25[[#This Row],[molar ratio metal metal]]</f>
        <v>0</v>
      </c>
    </row>
    <row r="94" spans="1:30" ht="15" customHeight="1">
      <c r="A94" s="7">
        <f>Tabelle25[[#This Row],[institution
voc4cat:0007842]]</f>
        <v>0</v>
      </c>
      <c r="B94" s="7">
        <f>Tabelle25[[#This Row],[catalyst barcode  
(barcode: AFO_/result'#AFR:0002690)]]</f>
        <v>0</v>
      </c>
      <c r="C94" s="7">
        <f>Tabelle25[[#This Row],[identifier  
dct]]</f>
        <v>0</v>
      </c>
      <c r="D94" s="7">
        <f>Tabelle25[[#This Row],[catalyst
voc4cat:0007014]]</f>
        <v>0</v>
      </c>
      <c r="E94" s="7">
        <f>Tabelle25[[#This Row],[Name
dct:title]]</f>
        <v>0</v>
      </c>
      <c r="F94" s="7">
        <f>Tabelle25[[#This Row],[Preparation method
voc4cat:0007016]]</f>
        <v>0</v>
      </c>
      <c r="G94" s="7">
        <f>Tabelle25[[#This Row],[Support  
voc4cat:0007825]]</f>
        <v>0</v>
      </c>
      <c r="H94" s="7">
        <f>Tabelle25[[#This Row],[Support Barcode
(barcode: AFO_/result'#AFR:0002690)]]</f>
        <v>0</v>
      </c>
      <c r="I94" s="7">
        <f>Tabelle25[[#This Row],[Support identifier
dct]]</f>
        <v>0</v>
      </c>
      <c r="J94" s="7">
        <f>Tabelle25[[#This Row],[Support shape]]</f>
        <v>0</v>
      </c>
      <c r="K94" s="7">
        <f>Tabelle25[[#This Row],[Support Pretreatment
voc4cat:sample pretreatment voc4cat:0000123]]</f>
        <v>0</v>
      </c>
      <c r="L94" s="7">
        <f>Tabelle25[[#This Row],[Precursor 1 
precursor: voc4cat:0007794]]</f>
        <v>0</v>
      </c>
      <c r="M94" s="7">
        <f>Tabelle25[[#This Row],[Precursor 1 
dct:identifier
SMILES, InChi or InChiKey]]</f>
        <v>0</v>
      </c>
      <c r="N94" s="7">
        <f>Tabelle25[[#This Row],[Precursor 1 amount
voc4cat:sample mass
voc4cat:0007038]]</f>
        <v>0</v>
      </c>
      <c r="O94" s="7">
        <f>Tabelle25[[#This Row],[Precursor 2 
precursor: voc4cat:0007794]]</f>
        <v>0</v>
      </c>
      <c r="P94" s="7">
        <f>Tabelle25[[#This Row],[Precursor 2 
dct:identifier
SMILES, InChi or InChiKey]]</f>
        <v>0</v>
      </c>
      <c r="Q94" s="7">
        <f>Tabelle25[[#This Row],[Precursor 2 amount
voc4cat:sample mass
voc4cat:0007038]]</f>
        <v>0</v>
      </c>
      <c r="R94" s="7">
        <f>Tabelle25[[#This Row],[Precursor 3 
precursor: voc4cat:0007794]]</f>
        <v>0</v>
      </c>
      <c r="S94" s="7">
        <f>Tabelle25[[#This Row],[Precursor 3 
dct:identifier
SMILES, InChi or InChiKey]]</f>
        <v>0</v>
      </c>
      <c r="T94" s="7">
        <f>Tabelle25[[#This Row],[Precursor 3 amount
voc4cat:sample mass
voc4cat:0007038]]</f>
        <v>0</v>
      </c>
      <c r="U94" s="7">
        <f>Tabelle25[[#This Row],[Precursor 4 
precursor: voc4cat:0007794]]</f>
        <v>0</v>
      </c>
      <c r="V94" s="7">
        <f>Tabelle25[[#This Row],[Precursor 4 
dct:identifier
SMILES, InChi or InChiKey]]</f>
        <v>0</v>
      </c>
      <c r="W94" s="7">
        <f>Tabelle25[[#This Row],[Precursor 4 amount
voc4cat:sample mass
voc4cat:0007038]]</f>
        <v>0</v>
      </c>
      <c r="X94" s="7">
        <f>Tabelle25[[#This Row],[additive
voc4cat:0007793]]</f>
        <v>0</v>
      </c>
      <c r="Y94" s="7">
        <f>Tabelle25[[#This Row],[additive
dct:identifier
SMILES, InChi or InChiKey]]</f>
        <v>0</v>
      </c>
      <c r="Z94" s="7">
        <f>Tabelle25[[#This Row],[Additive amount
voc4cat:sample mass
voc4cat:0007038]]</f>
        <v>0</v>
      </c>
      <c r="AA94" s="7">
        <f>Tabelle25[[#This Row],[Metal]]</f>
        <v>0</v>
      </c>
      <c r="AB94" s="7">
        <f>Tabelle25[[#This Row],[Metal loading, nominal (wt%)
voc4cat:0007815]]</f>
        <v>0</v>
      </c>
      <c r="AC94" s="7">
        <f>Tabelle25[[#This Row],[molar ratio metal additive]]</f>
        <v>0</v>
      </c>
      <c r="AD94" s="7">
        <f>Tabelle25[[#This Row],[molar ratio metal metal]]</f>
        <v>0</v>
      </c>
    </row>
    <row r="95" spans="1:30" ht="15" customHeight="1">
      <c r="A95" s="7">
        <f>Tabelle25[[#This Row],[institution
voc4cat:0007842]]</f>
        <v>0</v>
      </c>
      <c r="B95" s="7">
        <f>Tabelle25[[#This Row],[catalyst barcode  
(barcode: AFO_/result'#AFR:0002690)]]</f>
        <v>0</v>
      </c>
      <c r="C95" s="7">
        <f>Tabelle25[[#This Row],[identifier  
dct]]</f>
        <v>0</v>
      </c>
      <c r="D95" s="7">
        <f>Tabelle25[[#This Row],[catalyst
voc4cat:0007014]]</f>
        <v>0</v>
      </c>
      <c r="E95" s="7">
        <f>Tabelle25[[#This Row],[Name
dct:title]]</f>
        <v>0</v>
      </c>
      <c r="F95" s="7">
        <f>Tabelle25[[#This Row],[Preparation method
voc4cat:0007016]]</f>
        <v>0</v>
      </c>
      <c r="G95" s="7">
        <f>Tabelle25[[#This Row],[Support  
voc4cat:0007825]]</f>
        <v>0</v>
      </c>
      <c r="H95" s="7">
        <f>Tabelle25[[#This Row],[Support Barcode
(barcode: AFO_/result'#AFR:0002690)]]</f>
        <v>0</v>
      </c>
      <c r="I95" s="7">
        <f>Tabelle25[[#This Row],[Support identifier
dct]]</f>
        <v>0</v>
      </c>
      <c r="J95" s="7">
        <f>Tabelle25[[#This Row],[Support shape]]</f>
        <v>0</v>
      </c>
      <c r="K95" s="7">
        <f>Tabelle25[[#This Row],[Support Pretreatment
voc4cat:sample pretreatment voc4cat:0000123]]</f>
        <v>0</v>
      </c>
      <c r="L95" s="7">
        <f>Tabelle25[[#This Row],[Precursor 1 
precursor: voc4cat:0007794]]</f>
        <v>0</v>
      </c>
      <c r="M95" s="7">
        <f>Tabelle25[[#This Row],[Precursor 1 
dct:identifier
SMILES, InChi or InChiKey]]</f>
        <v>0</v>
      </c>
      <c r="N95" s="7">
        <f>Tabelle25[[#This Row],[Precursor 1 amount
voc4cat:sample mass
voc4cat:0007038]]</f>
        <v>0</v>
      </c>
      <c r="O95" s="7">
        <f>Tabelle25[[#This Row],[Precursor 2 
precursor: voc4cat:0007794]]</f>
        <v>0</v>
      </c>
      <c r="P95" s="7">
        <f>Tabelle25[[#This Row],[Precursor 2 
dct:identifier
SMILES, InChi or InChiKey]]</f>
        <v>0</v>
      </c>
      <c r="Q95" s="7">
        <f>Tabelle25[[#This Row],[Precursor 2 amount
voc4cat:sample mass
voc4cat:0007038]]</f>
        <v>0</v>
      </c>
      <c r="R95" s="7">
        <f>Tabelle25[[#This Row],[Precursor 3 
precursor: voc4cat:0007794]]</f>
        <v>0</v>
      </c>
      <c r="S95" s="7">
        <f>Tabelle25[[#This Row],[Precursor 3 
dct:identifier
SMILES, InChi or InChiKey]]</f>
        <v>0</v>
      </c>
      <c r="T95" s="7">
        <f>Tabelle25[[#This Row],[Precursor 3 amount
voc4cat:sample mass
voc4cat:0007038]]</f>
        <v>0</v>
      </c>
      <c r="U95" s="7">
        <f>Tabelle25[[#This Row],[Precursor 4 
precursor: voc4cat:0007794]]</f>
        <v>0</v>
      </c>
      <c r="V95" s="7">
        <f>Tabelle25[[#This Row],[Precursor 4 
dct:identifier
SMILES, InChi or InChiKey]]</f>
        <v>0</v>
      </c>
      <c r="W95" s="7">
        <f>Tabelle25[[#This Row],[Precursor 4 amount
voc4cat:sample mass
voc4cat:0007038]]</f>
        <v>0</v>
      </c>
      <c r="X95" s="7">
        <f>Tabelle25[[#This Row],[additive
voc4cat:0007793]]</f>
        <v>0</v>
      </c>
      <c r="Y95" s="7">
        <f>Tabelle25[[#This Row],[additive
dct:identifier
SMILES, InChi or InChiKey]]</f>
        <v>0</v>
      </c>
      <c r="Z95" s="7">
        <f>Tabelle25[[#This Row],[Additive amount
voc4cat:sample mass
voc4cat:0007038]]</f>
        <v>0</v>
      </c>
      <c r="AA95" s="7">
        <f>Tabelle25[[#This Row],[Metal]]</f>
        <v>0</v>
      </c>
      <c r="AB95" s="7">
        <f>Tabelle25[[#This Row],[Metal loading, nominal (wt%)
voc4cat:0007815]]</f>
        <v>0</v>
      </c>
      <c r="AC95" s="7">
        <f>Tabelle25[[#This Row],[molar ratio metal additive]]</f>
        <v>0</v>
      </c>
      <c r="AD95" s="7">
        <f>Tabelle25[[#This Row],[molar ratio metal metal]]</f>
        <v>0</v>
      </c>
    </row>
    <row r="96" spans="1:30" ht="15" customHeight="1">
      <c r="A96" s="7">
        <f>Tabelle25[[#This Row],[institution
voc4cat:0007842]]</f>
        <v>0</v>
      </c>
      <c r="B96" s="7">
        <f>Tabelle25[[#This Row],[catalyst barcode  
(barcode: AFO_/result'#AFR:0002690)]]</f>
        <v>0</v>
      </c>
      <c r="C96" s="7">
        <f>Tabelle25[[#This Row],[identifier  
dct]]</f>
        <v>0</v>
      </c>
      <c r="D96" s="7">
        <f>Tabelle25[[#This Row],[catalyst
voc4cat:0007014]]</f>
        <v>0</v>
      </c>
      <c r="E96" s="7">
        <f>Tabelle25[[#This Row],[Name
dct:title]]</f>
        <v>0</v>
      </c>
      <c r="F96" s="7">
        <f>Tabelle25[[#This Row],[Preparation method
voc4cat:0007016]]</f>
        <v>0</v>
      </c>
      <c r="G96" s="7">
        <f>Tabelle25[[#This Row],[Support  
voc4cat:0007825]]</f>
        <v>0</v>
      </c>
      <c r="H96" s="7">
        <f>Tabelle25[[#This Row],[Support Barcode
(barcode: AFO_/result'#AFR:0002690)]]</f>
        <v>0</v>
      </c>
      <c r="I96" s="7">
        <f>Tabelle25[[#This Row],[Support identifier
dct]]</f>
        <v>0</v>
      </c>
      <c r="J96" s="7">
        <f>Tabelle25[[#This Row],[Support shape]]</f>
        <v>0</v>
      </c>
      <c r="K96" s="7">
        <f>Tabelle25[[#This Row],[Support Pretreatment
voc4cat:sample pretreatment voc4cat:0000123]]</f>
        <v>0</v>
      </c>
      <c r="L96" s="7">
        <f>Tabelle25[[#This Row],[Precursor 1 
precursor: voc4cat:0007794]]</f>
        <v>0</v>
      </c>
      <c r="M96" s="7">
        <f>Tabelle25[[#This Row],[Precursor 1 
dct:identifier
SMILES, InChi or InChiKey]]</f>
        <v>0</v>
      </c>
      <c r="N96" s="7">
        <f>Tabelle25[[#This Row],[Precursor 1 amount
voc4cat:sample mass
voc4cat:0007038]]</f>
        <v>0</v>
      </c>
      <c r="O96" s="7">
        <f>Tabelle25[[#This Row],[Precursor 2 
precursor: voc4cat:0007794]]</f>
        <v>0</v>
      </c>
      <c r="P96" s="7">
        <f>Tabelle25[[#This Row],[Precursor 2 
dct:identifier
SMILES, InChi or InChiKey]]</f>
        <v>0</v>
      </c>
      <c r="Q96" s="7">
        <f>Tabelle25[[#This Row],[Precursor 2 amount
voc4cat:sample mass
voc4cat:0007038]]</f>
        <v>0</v>
      </c>
      <c r="R96" s="7">
        <f>Tabelle25[[#This Row],[Precursor 3 
precursor: voc4cat:0007794]]</f>
        <v>0</v>
      </c>
      <c r="S96" s="7">
        <f>Tabelle25[[#This Row],[Precursor 3 
dct:identifier
SMILES, InChi or InChiKey]]</f>
        <v>0</v>
      </c>
      <c r="T96" s="7">
        <f>Tabelle25[[#This Row],[Precursor 3 amount
voc4cat:sample mass
voc4cat:0007038]]</f>
        <v>0</v>
      </c>
      <c r="U96" s="7">
        <f>Tabelle25[[#This Row],[Precursor 4 
precursor: voc4cat:0007794]]</f>
        <v>0</v>
      </c>
      <c r="V96" s="7">
        <f>Tabelle25[[#This Row],[Precursor 4 
dct:identifier
SMILES, InChi or InChiKey]]</f>
        <v>0</v>
      </c>
      <c r="W96" s="7">
        <f>Tabelle25[[#This Row],[Precursor 4 amount
voc4cat:sample mass
voc4cat:0007038]]</f>
        <v>0</v>
      </c>
      <c r="X96" s="7">
        <f>Tabelle25[[#This Row],[additive
voc4cat:0007793]]</f>
        <v>0</v>
      </c>
      <c r="Y96" s="7">
        <f>Tabelle25[[#This Row],[additive
dct:identifier
SMILES, InChi or InChiKey]]</f>
        <v>0</v>
      </c>
      <c r="Z96" s="7">
        <f>Tabelle25[[#This Row],[Additive amount
voc4cat:sample mass
voc4cat:0007038]]</f>
        <v>0</v>
      </c>
      <c r="AA96" s="7">
        <f>Tabelle25[[#This Row],[Metal]]</f>
        <v>0</v>
      </c>
      <c r="AB96" s="7">
        <f>Tabelle25[[#This Row],[Metal loading, nominal (wt%)
voc4cat:0007815]]</f>
        <v>0</v>
      </c>
      <c r="AC96" s="7">
        <f>Tabelle25[[#This Row],[molar ratio metal additive]]</f>
        <v>0</v>
      </c>
      <c r="AD96" s="7">
        <f>Tabelle25[[#This Row],[molar ratio metal metal]]</f>
        <v>0</v>
      </c>
    </row>
    <row r="97" spans="1:30" ht="15" customHeight="1">
      <c r="A97" s="7">
        <f>Tabelle25[[#This Row],[institution
voc4cat:0007842]]</f>
        <v>0</v>
      </c>
      <c r="B97" s="7">
        <f>Tabelle25[[#This Row],[catalyst barcode  
(barcode: AFO_/result'#AFR:0002690)]]</f>
        <v>0</v>
      </c>
      <c r="C97" s="7">
        <f>Tabelle25[[#This Row],[identifier  
dct]]</f>
        <v>0</v>
      </c>
      <c r="D97" s="7">
        <f>Tabelle25[[#This Row],[catalyst
voc4cat:0007014]]</f>
        <v>0</v>
      </c>
      <c r="E97" s="7">
        <f>Tabelle25[[#This Row],[Name
dct:title]]</f>
        <v>0</v>
      </c>
      <c r="F97" s="7">
        <f>Tabelle25[[#This Row],[Preparation method
voc4cat:0007016]]</f>
        <v>0</v>
      </c>
      <c r="G97" s="7">
        <f>Tabelle25[[#This Row],[Support  
voc4cat:0007825]]</f>
        <v>0</v>
      </c>
      <c r="H97" s="7">
        <f>Tabelle25[[#This Row],[Support Barcode
(barcode: AFO_/result'#AFR:0002690)]]</f>
        <v>0</v>
      </c>
      <c r="I97" s="7">
        <f>Tabelle25[[#This Row],[Support identifier
dct]]</f>
        <v>0</v>
      </c>
      <c r="J97" s="7">
        <f>Tabelle25[[#This Row],[Support shape]]</f>
        <v>0</v>
      </c>
      <c r="K97" s="7">
        <f>Tabelle25[[#This Row],[Support Pretreatment
voc4cat:sample pretreatment voc4cat:0000123]]</f>
        <v>0</v>
      </c>
      <c r="L97" s="7">
        <f>Tabelle25[[#This Row],[Precursor 1 
precursor: voc4cat:0007794]]</f>
        <v>0</v>
      </c>
      <c r="M97" s="7">
        <f>Tabelle25[[#This Row],[Precursor 1 
dct:identifier
SMILES, InChi or InChiKey]]</f>
        <v>0</v>
      </c>
      <c r="N97" s="7">
        <f>Tabelle25[[#This Row],[Precursor 1 amount
voc4cat:sample mass
voc4cat:0007038]]</f>
        <v>0</v>
      </c>
      <c r="O97" s="7">
        <f>Tabelle25[[#This Row],[Precursor 2 
precursor: voc4cat:0007794]]</f>
        <v>0</v>
      </c>
      <c r="P97" s="7">
        <f>Tabelle25[[#This Row],[Precursor 2 
dct:identifier
SMILES, InChi or InChiKey]]</f>
        <v>0</v>
      </c>
      <c r="Q97" s="7">
        <f>Tabelle25[[#This Row],[Precursor 2 amount
voc4cat:sample mass
voc4cat:0007038]]</f>
        <v>0</v>
      </c>
      <c r="R97" s="7">
        <f>Tabelle25[[#This Row],[Precursor 3 
precursor: voc4cat:0007794]]</f>
        <v>0</v>
      </c>
      <c r="S97" s="7">
        <f>Tabelle25[[#This Row],[Precursor 3 
dct:identifier
SMILES, InChi or InChiKey]]</f>
        <v>0</v>
      </c>
      <c r="T97" s="7">
        <f>Tabelle25[[#This Row],[Precursor 3 amount
voc4cat:sample mass
voc4cat:0007038]]</f>
        <v>0</v>
      </c>
      <c r="U97" s="7">
        <f>Tabelle25[[#This Row],[Precursor 4 
precursor: voc4cat:0007794]]</f>
        <v>0</v>
      </c>
      <c r="V97" s="7">
        <f>Tabelle25[[#This Row],[Precursor 4 
dct:identifier
SMILES, InChi or InChiKey]]</f>
        <v>0</v>
      </c>
      <c r="W97" s="7">
        <f>Tabelle25[[#This Row],[Precursor 4 amount
voc4cat:sample mass
voc4cat:0007038]]</f>
        <v>0</v>
      </c>
      <c r="X97" s="7">
        <f>Tabelle25[[#This Row],[additive
voc4cat:0007793]]</f>
        <v>0</v>
      </c>
      <c r="Y97" s="7">
        <f>Tabelle25[[#This Row],[additive
dct:identifier
SMILES, InChi or InChiKey]]</f>
        <v>0</v>
      </c>
      <c r="Z97" s="7">
        <f>Tabelle25[[#This Row],[Additive amount
voc4cat:sample mass
voc4cat:0007038]]</f>
        <v>0</v>
      </c>
      <c r="AA97" s="7">
        <f>Tabelle25[[#This Row],[Metal]]</f>
        <v>0</v>
      </c>
      <c r="AB97" s="7">
        <f>Tabelle25[[#This Row],[Metal loading, nominal (wt%)
voc4cat:0007815]]</f>
        <v>0</v>
      </c>
      <c r="AC97" s="7">
        <f>Tabelle25[[#This Row],[molar ratio metal additive]]</f>
        <v>0</v>
      </c>
      <c r="AD97" s="7">
        <f>Tabelle25[[#This Row],[molar ratio metal metal]]</f>
        <v>0</v>
      </c>
    </row>
    <row r="98" spans="1:30" ht="15" customHeight="1">
      <c r="A98" s="7">
        <f>Tabelle25[[#This Row],[institution
voc4cat:0007842]]</f>
        <v>0</v>
      </c>
      <c r="B98" s="7">
        <f>Tabelle25[[#This Row],[catalyst barcode  
(barcode: AFO_/result'#AFR:0002690)]]</f>
        <v>0</v>
      </c>
      <c r="C98" s="7">
        <f>Tabelle25[[#This Row],[identifier  
dct]]</f>
        <v>0</v>
      </c>
      <c r="D98" s="7">
        <f>Tabelle25[[#This Row],[catalyst
voc4cat:0007014]]</f>
        <v>0</v>
      </c>
      <c r="E98" s="7">
        <f>Tabelle25[[#This Row],[Name
dct:title]]</f>
        <v>0</v>
      </c>
      <c r="F98" s="7">
        <f>Tabelle25[[#This Row],[Preparation method
voc4cat:0007016]]</f>
        <v>0</v>
      </c>
      <c r="G98" s="7">
        <f>Tabelle25[[#This Row],[Support  
voc4cat:0007825]]</f>
        <v>0</v>
      </c>
      <c r="H98" s="7">
        <f>Tabelle25[[#This Row],[Support Barcode
(barcode: AFO_/result'#AFR:0002690)]]</f>
        <v>0</v>
      </c>
      <c r="I98" s="7">
        <f>Tabelle25[[#This Row],[Support identifier
dct]]</f>
        <v>0</v>
      </c>
      <c r="J98" s="7">
        <f>Tabelle25[[#This Row],[Support shape]]</f>
        <v>0</v>
      </c>
      <c r="K98" s="7">
        <f>Tabelle25[[#This Row],[Support Pretreatment
voc4cat:sample pretreatment voc4cat:0000123]]</f>
        <v>0</v>
      </c>
      <c r="L98" s="7">
        <f>Tabelle25[[#This Row],[Precursor 1 
precursor: voc4cat:0007794]]</f>
        <v>0</v>
      </c>
      <c r="M98" s="7">
        <f>Tabelle25[[#This Row],[Precursor 1 
dct:identifier
SMILES, InChi or InChiKey]]</f>
        <v>0</v>
      </c>
      <c r="N98" s="7">
        <f>Tabelle25[[#This Row],[Precursor 1 amount
voc4cat:sample mass
voc4cat:0007038]]</f>
        <v>0</v>
      </c>
      <c r="O98" s="7">
        <f>Tabelle25[[#This Row],[Precursor 2 
precursor: voc4cat:0007794]]</f>
        <v>0</v>
      </c>
      <c r="P98" s="7">
        <f>Tabelle25[[#This Row],[Precursor 2 
dct:identifier
SMILES, InChi or InChiKey]]</f>
        <v>0</v>
      </c>
      <c r="Q98" s="7">
        <f>Tabelle25[[#This Row],[Precursor 2 amount
voc4cat:sample mass
voc4cat:0007038]]</f>
        <v>0</v>
      </c>
      <c r="R98" s="7">
        <f>Tabelle25[[#This Row],[Precursor 3 
precursor: voc4cat:0007794]]</f>
        <v>0</v>
      </c>
      <c r="S98" s="7">
        <f>Tabelle25[[#This Row],[Precursor 3 
dct:identifier
SMILES, InChi or InChiKey]]</f>
        <v>0</v>
      </c>
      <c r="T98" s="7">
        <f>Tabelle25[[#This Row],[Precursor 3 amount
voc4cat:sample mass
voc4cat:0007038]]</f>
        <v>0</v>
      </c>
      <c r="U98" s="7">
        <f>Tabelle25[[#This Row],[Precursor 4 
precursor: voc4cat:0007794]]</f>
        <v>0</v>
      </c>
      <c r="V98" s="7">
        <f>Tabelle25[[#This Row],[Precursor 4 
dct:identifier
SMILES, InChi or InChiKey]]</f>
        <v>0</v>
      </c>
      <c r="W98" s="7">
        <f>Tabelle25[[#This Row],[Precursor 4 amount
voc4cat:sample mass
voc4cat:0007038]]</f>
        <v>0</v>
      </c>
      <c r="X98" s="7">
        <f>Tabelle25[[#This Row],[additive
voc4cat:0007793]]</f>
        <v>0</v>
      </c>
      <c r="Y98" s="7">
        <f>Tabelle25[[#This Row],[additive
dct:identifier
SMILES, InChi or InChiKey]]</f>
        <v>0</v>
      </c>
      <c r="Z98" s="7">
        <f>Tabelle25[[#This Row],[Additive amount
voc4cat:sample mass
voc4cat:0007038]]</f>
        <v>0</v>
      </c>
      <c r="AA98" s="7">
        <f>Tabelle25[[#This Row],[Metal]]</f>
        <v>0</v>
      </c>
      <c r="AB98" s="7">
        <f>Tabelle25[[#This Row],[Metal loading, nominal (wt%)
voc4cat:0007815]]</f>
        <v>0</v>
      </c>
      <c r="AC98" s="7">
        <f>Tabelle25[[#This Row],[molar ratio metal additive]]</f>
        <v>0</v>
      </c>
      <c r="AD98" s="7">
        <f>Tabelle25[[#This Row],[molar ratio metal metal]]</f>
        <v>0</v>
      </c>
    </row>
    <row r="99" spans="1:30" ht="15" customHeight="1">
      <c r="A99" s="7">
        <f>Tabelle25[[#This Row],[institution
voc4cat:0007842]]</f>
        <v>0</v>
      </c>
      <c r="B99" s="7">
        <f>Tabelle25[[#This Row],[catalyst barcode  
(barcode: AFO_/result'#AFR:0002690)]]</f>
        <v>0</v>
      </c>
      <c r="C99" s="7">
        <f>Tabelle25[[#This Row],[identifier  
dct]]</f>
        <v>0</v>
      </c>
      <c r="D99" s="7">
        <f>Tabelle25[[#This Row],[catalyst
voc4cat:0007014]]</f>
        <v>0</v>
      </c>
      <c r="E99" s="7">
        <f>Tabelle25[[#This Row],[Name
dct:title]]</f>
        <v>0</v>
      </c>
      <c r="F99" s="7">
        <f>Tabelle25[[#This Row],[Preparation method
voc4cat:0007016]]</f>
        <v>0</v>
      </c>
      <c r="G99" s="7">
        <f>Tabelle25[[#This Row],[Support  
voc4cat:0007825]]</f>
        <v>0</v>
      </c>
      <c r="H99" s="7">
        <f>Tabelle25[[#This Row],[Support Barcode
(barcode: AFO_/result'#AFR:0002690)]]</f>
        <v>0</v>
      </c>
      <c r="I99" s="7">
        <f>Tabelle25[[#This Row],[Support identifier
dct]]</f>
        <v>0</v>
      </c>
      <c r="J99" s="7">
        <f>Tabelle25[[#This Row],[Support shape]]</f>
        <v>0</v>
      </c>
      <c r="K99" s="7">
        <f>Tabelle25[[#This Row],[Support Pretreatment
voc4cat:sample pretreatment voc4cat:0000123]]</f>
        <v>0</v>
      </c>
      <c r="L99" s="7">
        <f>Tabelle25[[#This Row],[Precursor 1 
precursor: voc4cat:0007794]]</f>
        <v>0</v>
      </c>
      <c r="M99" s="7">
        <f>Tabelle25[[#This Row],[Precursor 1 
dct:identifier
SMILES, InChi or InChiKey]]</f>
        <v>0</v>
      </c>
      <c r="N99" s="7">
        <f>Tabelle25[[#This Row],[Precursor 1 amount
voc4cat:sample mass
voc4cat:0007038]]</f>
        <v>0</v>
      </c>
      <c r="O99" s="7">
        <f>Tabelle25[[#This Row],[Precursor 2 
precursor: voc4cat:0007794]]</f>
        <v>0</v>
      </c>
      <c r="P99" s="7">
        <f>Tabelle25[[#This Row],[Precursor 2 
dct:identifier
SMILES, InChi or InChiKey]]</f>
        <v>0</v>
      </c>
      <c r="Q99" s="7">
        <f>Tabelle25[[#This Row],[Precursor 2 amount
voc4cat:sample mass
voc4cat:0007038]]</f>
        <v>0</v>
      </c>
      <c r="R99" s="7">
        <f>Tabelle25[[#This Row],[Precursor 3 
precursor: voc4cat:0007794]]</f>
        <v>0</v>
      </c>
      <c r="S99" s="7">
        <f>Tabelle25[[#This Row],[Precursor 3 
dct:identifier
SMILES, InChi or InChiKey]]</f>
        <v>0</v>
      </c>
      <c r="T99" s="7">
        <f>Tabelle25[[#This Row],[Precursor 3 amount
voc4cat:sample mass
voc4cat:0007038]]</f>
        <v>0</v>
      </c>
      <c r="U99" s="7">
        <f>Tabelle25[[#This Row],[Precursor 4 
precursor: voc4cat:0007794]]</f>
        <v>0</v>
      </c>
      <c r="V99" s="7">
        <f>Tabelle25[[#This Row],[Precursor 4 
dct:identifier
SMILES, InChi or InChiKey]]</f>
        <v>0</v>
      </c>
      <c r="W99" s="7">
        <f>Tabelle25[[#This Row],[Precursor 4 amount
voc4cat:sample mass
voc4cat:0007038]]</f>
        <v>0</v>
      </c>
      <c r="X99" s="7">
        <f>Tabelle25[[#This Row],[additive
voc4cat:0007793]]</f>
        <v>0</v>
      </c>
      <c r="Y99" s="7">
        <f>Tabelle25[[#This Row],[additive
dct:identifier
SMILES, InChi or InChiKey]]</f>
        <v>0</v>
      </c>
      <c r="Z99" s="7">
        <f>Tabelle25[[#This Row],[Additive amount
voc4cat:sample mass
voc4cat:0007038]]</f>
        <v>0</v>
      </c>
      <c r="AA99" s="7">
        <f>Tabelle25[[#This Row],[Metal]]</f>
        <v>0</v>
      </c>
      <c r="AB99" s="7">
        <f>Tabelle25[[#This Row],[Metal loading, nominal (wt%)
voc4cat:0007815]]</f>
        <v>0</v>
      </c>
      <c r="AC99" s="7">
        <f>Tabelle25[[#This Row],[molar ratio metal additive]]</f>
        <v>0</v>
      </c>
      <c r="AD99" s="7">
        <f>Tabelle25[[#This Row],[molar ratio metal metal]]</f>
        <v>0</v>
      </c>
    </row>
    <row r="100" spans="1:30" ht="15" customHeight="1">
      <c r="A100" s="7">
        <f>Tabelle25[[#This Row],[institution
voc4cat:0007842]]</f>
        <v>0</v>
      </c>
      <c r="B100" s="7">
        <f>Tabelle25[[#This Row],[catalyst barcode  
(barcode: AFO_/result'#AFR:0002690)]]</f>
        <v>0</v>
      </c>
      <c r="C100" s="7">
        <f>Tabelle25[[#This Row],[identifier  
dct]]</f>
        <v>0</v>
      </c>
      <c r="D100" s="7">
        <f>Tabelle25[[#This Row],[catalyst
voc4cat:0007014]]</f>
        <v>0</v>
      </c>
      <c r="E100" s="7">
        <f>Tabelle25[[#This Row],[Name
dct:title]]</f>
        <v>0</v>
      </c>
      <c r="F100" s="7">
        <f>Tabelle25[[#This Row],[Preparation method
voc4cat:0007016]]</f>
        <v>0</v>
      </c>
      <c r="G100" s="7">
        <f>Tabelle25[[#This Row],[Support  
voc4cat:0007825]]</f>
        <v>0</v>
      </c>
      <c r="H100" s="7">
        <f>Tabelle25[[#This Row],[Support Barcode
(barcode: AFO_/result'#AFR:0002690)]]</f>
        <v>0</v>
      </c>
      <c r="I100" s="7">
        <f>Tabelle25[[#This Row],[Support identifier
dct]]</f>
        <v>0</v>
      </c>
      <c r="J100" s="7">
        <f>Tabelle25[[#This Row],[Support shape]]</f>
        <v>0</v>
      </c>
      <c r="K100" s="7">
        <f>Tabelle25[[#This Row],[Support Pretreatment
voc4cat:sample pretreatment voc4cat:0000123]]</f>
        <v>0</v>
      </c>
      <c r="L100" s="7">
        <f>Tabelle25[[#This Row],[Precursor 1 
precursor: voc4cat:0007794]]</f>
        <v>0</v>
      </c>
      <c r="M100" s="7">
        <f>Tabelle25[[#This Row],[Precursor 1 
dct:identifier
SMILES, InChi or InChiKey]]</f>
        <v>0</v>
      </c>
      <c r="N100" s="7">
        <f>Tabelle25[[#This Row],[Precursor 1 amount
voc4cat:sample mass
voc4cat:0007038]]</f>
        <v>0</v>
      </c>
      <c r="O100" s="7">
        <f>Tabelle25[[#This Row],[Precursor 2 
precursor: voc4cat:0007794]]</f>
        <v>0</v>
      </c>
      <c r="P100" s="7">
        <f>Tabelle25[[#This Row],[Precursor 2 
dct:identifier
SMILES, InChi or InChiKey]]</f>
        <v>0</v>
      </c>
      <c r="Q100" s="7">
        <f>Tabelle25[[#This Row],[Precursor 2 amount
voc4cat:sample mass
voc4cat:0007038]]</f>
        <v>0</v>
      </c>
      <c r="R100" s="7">
        <f>Tabelle25[[#This Row],[Precursor 3 
precursor: voc4cat:0007794]]</f>
        <v>0</v>
      </c>
      <c r="S100" s="7">
        <f>Tabelle25[[#This Row],[Precursor 3 
dct:identifier
SMILES, InChi or InChiKey]]</f>
        <v>0</v>
      </c>
      <c r="T100" s="7">
        <f>Tabelle25[[#This Row],[Precursor 3 amount
voc4cat:sample mass
voc4cat:0007038]]</f>
        <v>0</v>
      </c>
      <c r="U100" s="7">
        <f>Tabelle25[[#This Row],[Precursor 4 
precursor: voc4cat:0007794]]</f>
        <v>0</v>
      </c>
      <c r="V100" s="7">
        <f>Tabelle25[[#This Row],[Precursor 4 
dct:identifier
SMILES, InChi or InChiKey]]</f>
        <v>0</v>
      </c>
      <c r="W100" s="7">
        <f>Tabelle25[[#This Row],[Precursor 4 amount
voc4cat:sample mass
voc4cat:0007038]]</f>
        <v>0</v>
      </c>
      <c r="X100" s="7">
        <f>Tabelle25[[#This Row],[additive
voc4cat:0007793]]</f>
        <v>0</v>
      </c>
      <c r="Y100" s="7">
        <f>Tabelle25[[#This Row],[additive
dct:identifier
SMILES, InChi or InChiKey]]</f>
        <v>0</v>
      </c>
      <c r="Z100" s="7">
        <f>Tabelle25[[#This Row],[Additive amount
voc4cat:sample mass
voc4cat:0007038]]</f>
        <v>0</v>
      </c>
      <c r="AA100" s="7">
        <f>Tabelle25[[#This Row],[Metal]]</f>
        <v>0</v>
      </c>
      <c r="AB100" s="7">
        <f>Tabelle25[[#This Row],[Metal loading, nominal (wt%)
voc4cat:0007815]]</f>
        <v>0</v>
      </c>
      <c r="AC100" s="7">
        <f>Tabelle25[[#This Row],[molar ratio metal additive]]</f>
        <v>0</v>
      </c>
      <c r="AD100" s="7">
        <f>Tabelle25[[#This Row],[molar ratio metal metal]]</f>
        <v>0</v>
      </c>
    </row>
    <row r="101" spans="1:30" ht="15" customHeight="1">
      <c r="A101" s="7"/>
      <c r="B101" s="17"/>
      <c r="C101" s="17"/>
      <c r="D101" s="17"/>
      <c r="E101" s="14"/>
      <c r="F101" s="7"/>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row>
  </sheetData>
  <sheetProtection algorithmName="SHA-512" hashValue="RZ3S9xYUS6i8pcnO7qTHwQ7V65kCSljv/BhjpSA8BDKAQ0b+fcfY9miDhtcUaykhBihXdhdKYhpiJNpKukSGrA==" saltValue="TbxA90DRXAh6pe0eu68mTw==" spinCount="100000" sheet="1" objects="1" scenarios="1" autoFilter="0" pivotTables="0"/>
  <dataConsolidate/>
  <mergeCells count="1">
    <mergeCell ref="A2:AD3"/>
  </mergeCells>
  <dataValidations count="1">
    <dataValidation type="list" allowBlank="1" showInputMessage="1" showErrorMessage="1" sqref="F101">
      <formula1>"co-precipitation, wet impregnation, incipient wetness impregnation, flame spray pyrolysis, dip coating, classic synthesis, solvothermal synthesis, deposition-precipitation, melting, sol-gel, grafting, ion-exchange"</formula1>
    </dataValidation>
  </dataValidations>
  <pageMargins left="0.7" right="0.7" top="0.78740157499999996" bottom="0.78740157499999996" header="0.3" footer="0.3"/>
  <pageSetup paperSize="9" orientation="portrait" r:id="rId1"/>
  <headerFooter>
    <oddFooter>&amp;C_x000D_&amp;1#&amp;"Calibri"&amp;10&amp;K000000 Internal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115"/>
  <sheetViews>
    <sheetView tabSelected="1" zoomScale="78" zoomScaleNormal="85" workbookViewId="0">
      <pane ySplit="4" topLeftCell="A5" activePane="bottomLeft" state="frozen"/>
      <selection pane="bottomLeft" activeCell="A2" sqref="A2:AD3"/>
    </sheetView>
  </sheetViews>
  <sheetFormatPr baseColWidth="10" defaultColWidth="11.42578125" defaultRowHeight="15" customHeight="1"/>
  <cols>
    <col min="1" max="1" width="16.140625" bestFit="1" customWidth="1"/>
    <col min="2" max="2" width="19.7109375" bestFit="1" customWidth="1"/>
    <col min="3" max="3" width="14.42578125" bestFit="1" customWidth="1"/>
    <col min="4" max="4" width="20" bestFit="1" customWidth="1"/>
    <col min="5" max="5" width="24.42578125" customWidth="1"/>
    <col min="6" max="6" width="19.7109375" bestFit="1" customWidth="1"/>
    <col min="7" max="7" width="23.7109375" bestFit="1" customWidth="1"/>
    <col min="8" max="8" width="16.28515625" bestFit="1" customWidth="1"/>
    <col min="9" max="9" width="50.85546875" customWidth="1"/>
    <col min="10" max="10" width="23.28515625" bestFit="1" customWidth="1"/>
    <col min="11" max="11" width="23.28515625" customWidth="1"/>
    <col min="12" max="12" width="29.5703125" bestFit="1" customWidth="1"/>
    <col min="13" max="16" width="29.5703125" customWidth="1"/>
    <col min="17" max="17" width="21.5703125" bestFit="1" customWidth="1"/>
    <col min="18" max="18" width="15.140625" bestFit="1" customWidth="1"/>
    <col min="19" max="19" width="15.140625" customWidth="1"/>
    <col min="20" max="20" width="21.5703125" bestFit="1" customWidth="1"/>
    <col min="21" max="21" width="15.140625" bestFit="1" customWidth="1"/>
    <col min="22" max="22" width="15.140625" customWidth="1"/>
    <col min="23" max="23" width="21.5703125" bestFit="1" customWidth="1"/>
    <col min="24" max="25" width="29.5703125" customWidth="1"/>
    <col min="26" max="26" width="25.140625" bestFit="1" customWidth="1"/>
    <col min="27" max="27" width="23.7109375" bestFit="1" customWidth="1"/>
    <col min="28" max="29" width="35.85546875" customWidth="1"/>
    <col min="30" max="30" width="29" customWidth="1"/>
    <col min="31" max="36" width="31" hidden="1" customWidth="1"/>
    <col min="37" max="37" width="15" hidden="1" customWidth="1"/>
    <col min="38" max="38" width="15.28515625" hidden="1" customWidth="1"/>
    <col min="39" max="39" width="16.28515625" hidden="1" customWidth="1"/>
    <col min="40" max="40" width="21.85546875" hidden="1" customWidth="1"/>
    <col min="41" max="42" width="15.42578125" hidden="1" customWidth="1"/>
    <col min="43" max="43" width="16.7109375" hidden="1" customWidth="1"/>
    <col min="44" max="44" width="19.28515625" hidden="1" customWidth="1"/>
    <col min="45" max="45" width="15.85546875" hidden="1" customWidth="1"/>
    <col min="46" max="46" width="15.42578125" hidden="1" customWidth="1"/>
    <col min="47" max="52" width="0" hidden="1" customWidth="1"/>
    <col min="53" max="75" width="11.42578125" hidden="1" customWidth="1"/>
    <col min="82" max="85" width="11.42578125" hidden="1" customWidth="1"/>
    <col min="86" max="86" width="18.85546875" hidden="1" customWidth="1"/>
    <col min="87" max="87" width="32.7109375" bestFit="1" customWidth="1"/>
    <col min="88" max="88" width="32.7109375" customWidth="1"/>
    <col min="89" max="89" width="16.28515625" bestFit="1" customWidth="1"/>
    <col min="90" max="90" width="25.7109375" bestFit="1" customWidth="1"/>
    <col min="91" max="91" width="30.28515625" bestFit="1" customWidth="1"/>
    <col min="92" max="92" width="29.85546875" bestFit="1" customWidth="1"/>
    <col min="93" max="93" width="24.85546875" bestFit="1" customWidth="1"/>
    <col min="94" max="94" width="26" bestFit="1" customWidth="1"/>
    <col min="95" max="103" width="11.42578125" hidden="1" customWidth="1"/>
    <col min="104" max="104" width="14.28515625" hidden="1" customWidth="1"/>
    <col min="105" max="105" width="13.42578125" hidden="1" customWidth="1"/>
    <col min="106" max="106" width="18.7109375" hidden="1" customWidth="1"/>
    <col min="107" max="107" width="16" hidden="1" customWidth="1"/>
    <col min="108" max="108" width="21.140625" hidden="1" customWidth="1"/>
  </cols>
  <sheetData>
    <row r="1" spans="1:136" ht="111.6" customHeight="1"/>
    <row r="2" spans="1:136" s="1" customFormat="1" ht="48.6" customHeight="1">
      <c r="A2" s="34" t="s">
        <v>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41" t="s">
        <v>243</v>
      </c>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3"/>
    </row>
    <row r="3" spans="1:136" s="20" customFormat="1" ht="39" customHeight="1">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t="s">
        <v>150</v>
      </c>
      <c r="AF3" s="37"/>
      <c r="AG3" s="37"/>
      <c r="AH3" s="38"/>
      <c r="AI3" s="39"/>
      <c r="AJ3" s="23"/>
      <c r="AK3" s="37" t="s">
        <v>151</v>
      </c>
      <c r="AL3" s="38"/>
      <c r="AM3" s="38"/>
      <c r="AN3" s="38"/>
      <c r="AO3" s="36" t="s">
        <v>152</v>
      </c>
      <c r="AP3" s="37"/>
      <c r="AQ3" s="38"/>
      <c r="AR3" s="38"/>
      <c r="AS3" s="38"/>
      <c r="AT3" s="38"/>
      <c r="AU3" s="36" t="s">
        <v>153</v>
      </c>
      <c r="AV3" s="37"/>
      <c r="AW3" s="37"/>
      <c r="AX3" s="38"/>
      <c r="AY3" s="38"/>
      <c r="AZ3" s="38"/>
      <c r="BA3" s="39"/>
      <c r="BB3" s="36" t="s">
        <v>155</v>
      </c>
      <c r="BC3" s="37"/>
      <c r="BD3" s="38"/>
      <c r="BE3" s="39"/>
      <c r="BF3" s="40" t="s">
        <v>154</v>
      </c>
      <c r="BG3" s="38"/>
      <c r="BH3" s="38"/>
      <c r="BI3" s="38"/>
      <c r="BJ3" s="38"/>
      <c r="BK3" s="38"/>
      <c r="BL3" s="38"/>
      <c r="BM3" s="39"/>
      <c r="BN3" s="40" t="s">
        <v>156</v>
      </c>
      <c r="BO3" s="38"/>
      <c r="BP3" s="38"/>
      <c r="BQ3" s="38"/>
      <c r="BR3" s="38"/>
      <c r="BS3" s="36" t="s">
        <v>157</v>
      </c>
      <c r="BT3" s="37"/>
      <c r="BU3" s="37"/>
      <c r="BV3" s="38"/>
      <c r="BW3" s="38"/>
      <c r="BX3" s="36" t="s">
        <v>149</v>
      </c>
      <c r="BY3" s="37"/>
      <c r="BZ3" s="38"/>
      <c r="CA3" s="38"/>
      <c r="CB3" s="38"/>
      <c r="CC3" s="39"/>
      <c r="CD3" s="36" t="s">
        <v>158</v>
      </c>
      <c r="CE3" s="37"/>
      <c r="CF3" s="38"/>
      <c r="CG3" s="38"/>
      <c r="CH3" s="39"/>
      <c r="CI3" s="37" t="s">
        <v>159</v>
      </c>
      <c r="CJ3" s="37"/>
      <c r="CK3" s="38"/>
      <c r="CL3" s="38"/>
      <c r="CM3" s="38"/>
      <c r="CN3" s="38"/>
      <c r="CO3" s="38"/>
      <c r="CP3" s="39"/>
      <c r="CQ3" s="36" t="s">
        <v>160</v>
      </c>
      <c r="CR3" s="37"/>
      <c r="CS3" s="38"/>
      <c r="CT3" s="38"/>
      <c r="CU3" s="38"/>
      <c r="CV3" s="39"/>
      <c r="CW3" s="36" t="s">
        <v>161</v>
      </c>
      <c r="CX3" s="37"/>
      <c r="CY3" s="38"/>
      <c r="CZ3" s="38"/>
      <c r="DA3" s="38"/>
      <c r="DB3" s="38"/>
      <c r="DC3" s="38"/>
      <c r="DD3" s="3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row>
    <row r="4" spans="1:136" ht="90">
      <c r="A4" s="24" t="s">
        <v>166</v>
      </c>
      <c r="B4" s="24" t="s">
        <v>167</v>
      </c>
      <c r="C4" s="24" t="s">
        <v>168</v>
      </c>
      <c r="D4" s="24" t="s">
        <v>169</v>
      </c>
      <c r="E4" s="26" t="s">
        <v>242</v>
      </c>
      <c r="F4" s="24" t="s">
        <v>170</v>
      </c>
      <c r="G4" s="24" t="s">
        <v>171</v>
      </c>
      <c r="H4" s="24" t="s">
        <v>172</v>
      </c>
      <c r="I4" s="24" t="s">
        <v>173</v>
      </c>
      <c r="J4" s="26" t="s">
        <v>165</v>
      </c>
      <c r="K4" s="24" t="s">
        <v>174</v>
      </c>
      <c r="L4" s="24" t="s">
        <v>175</v>
      </c>
      <c r="M4" s="24" t="s">
        <v>176</v>
      </c>
      <c r="N4" s="24" t="s">
        <v>177</v>
      </c>
      <c r="O4" s="24" t="s">
        <v>178</v>
      </c>
      <c r="P4" s="24" t="s">
        <v>179</v>
      </c>
      <c r="Q4" s="24" t="s">
        <v>180</v>
      </c>
      <c r="R4" s="24" t="s">
        <v>181</v>
      </c>
      <c r="S4" s="24" t="s">
        <v>182</v>
      </c>
      <c r="T4" s="24" t="s">
        <v>183</v>
      </c>
      <c r="U4" s="24" t="s">
        <v>184</v>
      </c>
      <c r="V4" s="24" t="s">
        <v>185</v>
      </c>
      <c r="W4" s="24" t="s">
        <v>186</v>
      </c>
      <c r="X4" s="24" t="s">
        <v>187</v>
      </c>
      <c r="Y4" s="24" t="s">
        <v>188</v>
      </c>
      <c r="Z4" s="24" t="s">
        <v>189</v>
      </c>
      <c r="AA4" s="27" t="s">
        <v>4</v>
      </c>
      <c r="AB4" s="24" t="s">
        <v>190</v>
      </c>
      <c r="AC4" s="27" t="s">
        <v>233</v>
      </c>
      <c r="AD4" s="27" t="s">
        <v>164</v>
      </c>
      <c r="AE4" s="30" t="s">
        <v>248</v>
      </c>
      <c r="AF4" s="29" t="s">
        <v>191</v>
      </c>
      <c r="AG4" s="29" t="s">
        <v>192</v>
      </c>
      <c r="AH4" s="24" t="s">
        <v>193</v>
      </c>
      <c r="AI4" s="24" t="s">
        <v>194</v>
      </c>
      <c r="AJ4" s="26" t="s">
        <v>249</v>
      </c>
      <c r="AK4" s="24" t="s">
        <v>195</v>
      </c>
      <c r="AL4" s="24" t="s">
        <v>196</v>
      </c>
      <c r="AM4" s="24" t="s">
        <v>197</v>
      </c>
      <c r="AN4" s="24" t="s">
        <v>198</v>
      </c>
      <c r="AO4" s="26" t="s">
        <v>251</v>
      </c>
      <c r="AP4" s="24" t="s">
        <v>250</v>
      </c>
      <c r="AQ4" s="27" t="s">
        <v>142</v>
      </c>
      <c r="AR4" s="27" t="s">
        <v>163</v>
      </c>
      <c r="AS4" s="24" t="s">
        <v>199</v>
      </c>
      <c r="AT4" s="24" t="s">
        <v>200</v>
      </c>
      <c r="AU4" s="27" t="s">
        <v>253</v>
      </c>
      <c r="AV4" s="27" t="s">
        <v>252</v>
      </c>
      <c r="AW4" s="24" t="s">
        <v>216</v>
      </c>
      <c r="AX4" s="24" t="s">
        <v>217</v>
      </c>
      <c r="AY4" s="27" t="s">
        <v>143</v>
      </c>
      <c r="AZ4" s="24" t="s">
        <v>218</v>
      </c>
      <c r="BA4" s="24" t="s">
        <v>219</v>
      </c>
      <c r="BB4" s="26" t="s">
        <v>255</v>
      </c>
      <c r="BC4" s="24" t="s">
        <v>254</v>
      </c>
      <c r="BD4" s="27" t="s">
        <v>144</v>
      </c>
      <c r="BE4" s="24" t="s">
        <v>220</v>
      </c>
      <c r="BF4" s="26" t="s">
        <v>257</v>
      </c>
      <c r="BG4" s="24" t="s">
        <v>256</v>
      </c>
      <c r="BH4" s="24" t="s">
        <v>221</v>
      </c>
      <c r="BI4" s="27" t="s">
        <v>145</v>
      </c>
      <c r="BJ4" s="24" t="s">
        <v>222</v>
      </c>
      <c r="BK4" s="24" t="s">
        <v>223</v>
      </c>
      <c r="BL4" s="27" t="s">
        <v>146</v>
      </c>
      <c r="BM4" s="24" t="s">
        <v>224</v>
      </c>
      <c r="BN4" s="26" t="s">
        <v>258</v>
      </c>
      <c r="BO4" s="24" t="s">
        <v>247</v>
      </c>
      <c r="BP4" s="24" t="s">
        <v>225</v>
      </c>
      <c r="BQ4" s="24" t="s">
        <v>226</v>
      </c>
      <c r="BR4" s="27" t="s">
        <v>147</v>
      </c>
      <c r="BS4" s="26" t="s">
        <v>260</v>
      </c>
      <c r="BT4" s="24" t="s">
        <v>259</v>
      </c>
      <c r="BU4" s="24" t="s">
        <v>227</v>
      </c>
      <c r="BV4" s="24" t="s">
        <v>228</v>
      </c>
      <c r="BW4" s="27" t="s">
        <v>148</v>
      </c>
      <c r="BX4" s="26" t="s">
        <v>262</v>
      </c>
      <c r="BY4" s="24" t="s">
        <v>261</v>
      </c>
      <c r="BZ4" s="24" t="s">
        <v>229</v>
      </c>
      <c r="CA4" s="29" t="s">
        <v>230</v>
      </c>
      <c r="CB4" s="29" t="s">
        <v>231</v>
      </c>
      <c r="CC4" s="24" t="s">
        <v>232</v>
      </c>
      <c r="CD4" s="26" t="s">
        <v>264</v>
      </c>
      <c r="CE4" s="24" t="s">
        <v>263</v>
      </c>
      <c r="CF4" s="24" t="s">
        <v>215</v>
      </c>
      <c r="CG4" s="27" t="s">
        <v>58</v>
      </c>
      <c r="CH4" s="24" t="s">
        <v>214</v>
      </c>
      <c r="CI4" s="26" t="s">
        <v>266</v>
      </c>
      <c r="CJ4" s="24" t="s">
        <v>265</v>
      </c>
      <c r="CK4" s="24" t="s">
        <v>213</v>
      </c>
      <c r="CL4" s="24" t="s">
        <v>212</v>
      </c>
      <c r="CM4" s="24" t="s">
        <v>211</v>
      </c>
      <c r="CN4" s="24" t="s">
        <v>210</v>
      </c>
      <c r="CO4" s="24" t="s">
        <v>209</v>
      </c>
      <c r="CP4" s="24" t="s">
        <v>208</v>
      </c>
      <c r="CQ4" s="26" t="s">
        <v>268</v>
      </c>
      <c r="CR4" s="24" t="s">
        <v>267</v>
      </c>
      <c r="CS4" s="24" t="s">
        <v>207</v>
      </c>
      <c r="CT4" s="24" t="s">
        <v>206</v>
      </c>
      <c r="CU4" s="24" t="s">
        <v>205</v>
      </c>
      <c r="CV4" s="24" t="s">
        <v>204</v>
      </c>
      <c r="CW4" s="26" t="s">
        <v>270</v>
      </c>
      <c r="CX4" s="24" t="s">
        <v>269</v>
      </c>
      <c r="CY4" s="27" t="s">
        <v>68</v>
      </c>
      <c r="CZ4" s="24" t="s">
        <v>203</v>
      </c>
      <c r="DA4" s="27" t="s">
        <v>69</v>
      </c>
      <c r="DB4" s="24" t="s">
        <v>202</v>
      </c>
      <c r="DC4" s="24" t="s">
        <v>201</v>
      </c>
      <c r="DD4" s="27" t="s">
        <v>70</v>
      </c>
    </row>
    <row r="5" spans="1:136" s="5" customFormat="1" ht="18" customHeight="1">
      <c r="A5" s="31" t="s">
        <v>7</v>
      </c>
      <c r="B5" s="7"/>
      <c r="C5" s="31" t="s">
        <v>272</v>
      </c>
      <c r="D5" s="31" t="s">
        <v>13</v>
      </c>
      <c r="E5" s="31" t="s">
        <v>273</v>
      </c>
      <c r="F5" s="31" t="s">
        <v>77</v>
      </c>
      <c r="G5" s="31"/>
      <c r="H5" s="7"/>
      <c r="I5" s="31"/>
      <c r="J5" s="32"/>
      <c r="K5" s="33"/>
      <c r="L5" s="32"/>
      <c r="M5" s="32"/>
      <c r="N5" s="32"/>
      <c r="O5" s="32"/>
      <c r="P5" s="32"/>
      <c r="Q5" s="32"/>
      <c r="R5" s="32"/>
      <c r="S5" s="32"/>
      <c r="T5" s="32"/>
      <c r="U5" s="32"/>
      <c r="V5" s="32"/>
      <c r="W5" s="32"/>
      <c r="X5" s="14"/>
      <c r="Y5" s="14"/>
      <c r="Z5" s="14"/>
      <c r="AA5" s="7" t="s">
        <v>274</v>
      </c>
      <c r="AB5" s="8"/>
      <c r="AC5" s="8"/>
      <c r="AD5" s="7"/>
      <c r="AE5" s="7"/>
      <c r="AF5" s="7"/>
      <c r="AG5" s="7"/>
      <c r="AH5" s="7"/>
      <c r="AI5" s="7"/>
      <c r="AJ5" s="7"/>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t="s">
        <v>73</v>
      </c>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row>
    <row r="6" spans="1:136" s="5" customFormat="1" ht="18" customHeight="1">
      <c r="A6" s="7"/>
      <c r="B6" s="7"/>
      <c r="C6" s="7"/>
      <c r="D6" s="7"/>
      <c r="E6" s="9"/>
      <c r="F6" s="7" t="s">
        <v>74</v>
      </c>
      <c r="G6" s="9"/>
      <c r="H6" s="7"/>
      <c r="I6" s="7"/>
      <c r="J6" s="14"/>
      <c r="K6" s="14"/>
      <c r="L6" s="14"/>
      <c r="M6" s="14"/>
      <c r="N6" s="14"/>
      <c r="O6" s="14"/>
      <c r="P6" s="14"/>
      <c r="Q6" s="14"/>
      <c r="R6" s="14"/>
      <c r="S6" s="14"/>
      <c r="T6" s="14"/>
      <c r="U6" s="14"/>
      <c r="V6" s="14"/>
      <c r="W6" s="14"/>
      <c r="X6" s="14"/>
      <c r="Y6" s="14"/>
      <c r="Z6" s="14"/>
      <c r="AA6" s="7"/>
      <c r="AB6" s="9"/>
      <c r="AC6" s="9"/>
      <c r="AD6" s="7"/>
      <c r="AE6" s="7"/>
      <c r="AF6" s="7"/>
      <c r="AG6" s="7"/>
      <c r="AH6" s="7"/>
      <c r="AI6" s="7"/>
      <c r="AJ6" s="7"/>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row>
    <row r="7" spans="1:136" s="5" customFormat="1" ht="18" customHeight="1">
      <c r="A7" s="7"/>
      <c r="B7" s="7"/>
      <c r="C7" s="7"/>
      <c r="D7" s="7"/>
      <c r="E7" s="9"/>
      <c r="F7" s="7"/>
      <c r="G7" s="9"/>
      <c r="H7" s="7"/>
      <c r="I7" s="7"/>
      <c r="J7" s="14"/>
      <c r="K7" s="14"/>
      <c r="L7" s="14"/>
      <c r="M7" s="14"/>
      <c r="N7" s="14"/>
      <c r="O7" s="14"/>
      <c r="P7" s="14"/>
      <c r="Q7" s="14"/>
      <c r="R7" s="14"/>
      <c r="S7" s="14"/>
      <c r="T7" s="14"/>
      <c r="U7" s="14"/>
      <c r="V7" s="14"/>
      <c r="W7" s="14"/>
      <c r="X7" s="14"/>
      <c r="Y7" s="14"/>
      <c r="Z7" s="14"/>
      <c r="AA7" s="7"/>
      <c r="AB7" s="9"/>
      <c r="AC7" s="9"/>
      <c r="AD7" s="7"/>
      <c r="AE7" s="7"/>
      <c r="AF7" s="7"/>
      <c r="AG7" s="7"/>
      <c r="AH7" s="7"/>
      <c r="AI7" s="7"/>
      <c r="AJ7" s="7"/>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row>
    <row r="8" spans="1:136" s="5" customFormat="1" ht="18" customHeight="1">
      <c r="A8" s="7"/>
      <c r="B8" s="7"/>
      <c r="C8" s="7"/>
      <c r="D8" s="7"/>
      <c r="E8" s="7"/>
      <c r="F8" s="7"/>
      <c r="G8" s="9"/>
      <c r="H8" s="7"/>
      <c r="I8" s="7"/>
      <c r="J8" s="14"/>
      <c r="K8" s="14"/>
      <c r="L8" s="14"/>
      <c r="M8" s="14"/>
      <c r="N8" s="14"/>
      <c r="O8" s="14"/>
      <c r="P8" s="14"/>
      <c r="Q8" s="14"/>
      <c r="R8" s="14"/>
      <c r="S8" s="14"/>
      <c r="T8" s="14"/>
      <c r="U8" s="14"/>
      <c r="V8" s="14"/>
      <c r="W8" s="14"/>
      <c r="X8" s="14"/>
      <c r="Y8" s="14"/>
      <c r="Z8" s="14"/>
      <c r="AA8" s="7"/>
      <c r="AB8" s="8"/>
      <c r="AC8" s="8"/>
      <c r="AD8" s="7"/>
      <c r="AE8" s="7"/>
      <c r="AF8" s="7"/>
      <c r="AG8" s="7"/>
      <c r="AH8" s="7"/>
      <c r="AI8" s="7"/>
      <c r="AJ8" s="7"/>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row>
    <row r="9" spans="1:136" s="5" customFormat="1" ht="18" customHeight="1">
      <c r="A9" s="7"/>
      <c r="B9" s="7"/>
      <c r="C9" s="7"/>
      <c r="D9" s="7"/>
      <c r="E9" s="9"/>
      <c r="F9" s="7"/>
      <c r="G9" s="9"/>
      <c r="H9" s="7"/>
      <c r="I9" s="7"/>
      <c r="J9" s="14"/>
      <c r="K9" s="14"/>
      <c r="L9" s="14"/>
      <c r="M9" s="14"/>
      <c r="N9" s="14"/>
      <c r="O9" s="14"/>
      <c r="P9" s="14"/>
      <c r="Q9" s="14"/>
      <c r="R9" s="14"/>
      <c r="S9" s="14"/>
      <c r="T9" s="14"/>
      <c r="U9" s="14"/>
      <c r="V9" s="14"/>
      <c r="W9" s="14"/>
      <c r="X9" s="14"/>
      <c r="Y9" s="14"/>
      <c r="Z9" s="14"/>
      <c r="AA9" s="7"/>
      <c r="AB9" s="9"/>
      <c r="AC9" s="9"/>
      <c r="AD9" s="7"/>
      <c r="AE9" s="7"/>
      <c r="AF9" s="7"/>
      <c r="AG9" s="7"/>
      <c r="AH9" s="7"/>
      <c r="AI9" s="7"/>
      <c r="AJ9" s="7"/>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row>
    <row r="10" spans="1:136" s="5" customFormat="1" ht="18" customHeight="1">
      <c r="A10" s="7"/>
      <c r="B10" s="7"/>
      <c r="C10" s="7"/>
      <c r="D10" s="7"/>
      <c r="E10" s="9"/>
      <c r="F10" s="7"/>
      <c r="G10" s="9"/>
      <c r="H10" s="7"/>
      <c r="I10" s="7"/>
      <c r="J10" s="14"/>
      <c r="K10" s="14"/>
      <c r="L10" s="14"/>
      <c r="M10" s="14"/>
      <c r="N10" s="14"/>
      <c r="O10" s="14"/>
      <c r="P10" s="14"/>
      <c r="Q10" s="14"/>
      <c r="R10" s="14"/>
      <c r="S10" s="14"/>
      <c r="T10" s="14"/>
      <c r="U10" s="14"/>
      <c r="V10" s="14"/>
      <c r="W10" s="14"/>
      <c r="X10" s="14"/>
      <c r="Y10" s="14"/>
      <c r="Z10" s="14"/>
      <c r="AA10" s="7"/>
      <c r="AB10" s="9"/>
      <c r="AC10" s="9"/>
      <c r="AD10" s="7"/>
      <c r="AE10" s="7"/>
      <c r="AF10" s="7"/>
      <c r="AG10" s="7"/>
      <c r="AH10" s="7"/>
      <c r="AI10" s="7"/>
      <c r="AJ10" s="7"/>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row>
    <row r="11" spans="1:136" s="5" customFormat="1" ht="18" customHeight="1">
      <c r="A11" s="7"/>
      <c r="B11" s="7"/>
      <c r="C11" s="7"/>
      <c r="D11" s="7"/>
      <c r="E11" s="7"/>
      <c r="F11" s="7"/>
      <c r="G11" s="9"/>
      <c r="H11" s="7"/>
      <c r="I11" s="7"/>
      <c r="J11" s="14"/>
      <c r="K11" s="14"/>
      <c r="L11" s="14"/>
      <c r="M11" s="14"/>
      <c r="N11" s="14"/>
      <c r="O11" s="14"/>
      <c r="P11" s="14"/>
      <c r="Q11" s="14"/>
      <c r="R11" s="14"/>
      <c r="S11" s="14"/>
      <c r="T11" s="14"/>
      <c r="U11" s="14"/>
      <c r="V11" s="14"/>
      <c r="W11" s="14"/>
      <c r="X11" s="14"/>
      <c r="Y11" s="14"/>
      <c r="Z11" s="14"/>
      <c r="AA11" s="7"/>
      <c r="AB11" s="8"/>
      <c r="AC11" s="8"/>
      <c r="AD11" s="7"/>
      <c r="AE11" s="7"/>
      <c r="AF11" s="7"/>
      <c r="AG11" s="7"/>
      <c r="AH11" s="7"/>
      <c r="AI11" s="7"/>
      <c r="AJ11" s="7"/>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row>
    <row r="12" spans="1:136" s="5" customFormat="1" ht="18" customHeight="1">
      <c r="A12" s="7"/>
      <c r="B12" s="7"/>
      <c r="C12" s="7"/>
      <c r="D12" s="7"/>
      <c r="E12" s="9"/>
      <c r="F12" s="7"/>
      <c r="G12" s="9"/>
      <c r="H12" s="7"/>
      <c r="I12" s="7"/>
      <c r="J12" s="14"/>
      <c r="K12" s="14"/>
      <c r="L12" s="14"/>
      <c r="M12" s="14"/>
      <c r="N12" s="14"/>
      <c r="O12" s="14"/>
      <c r="P12" s="14"/>
      <c r="Q12" s="14"/>
      <c r="R12" s="14"/>
      <c r="S12" s="14"/>
      <c r="T12" s="14"/>
      <c r="U12" s="14"/>
      <c r="V12" s="14"/>
      <c r="W12" s="14"/>
      <c r="X12" s="14"/>
      <c r="Y12" s="14"/>
      <c r="Z12" s="14"/>
      <c r="AA12" s="7"/>
      <c r="AB12" s="9"/>
      <c r="AC12" s="9"/>
      <c r="AD12" s="7"/>
      <c r="AE12" s="7"/>
      <c r="AF12" s="7"/>
      <c r="AG12" s="7"/>
      <c r="AH12" s="7"/>
      <c r="AI12" s="7"/>
      <c r="AJ12" s="7"/>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row>
    <row r="13" spans="1:136" s="5" customFormat="1" ht="18" customHeight="1">
      <c r="A13" s="7"/>
      <c r="B13" s="7"/>
      <c r="C13" s="7"/>
      <c r="D13" s="7"/>
      <c r="E13" s="9"/>
      <c r="F13" s="7"/>
      <c r="G13" s="9"/>
      <c r="H13" s="7"/>
      <c r="I13" s="7"/>
      <c r="J13" s="14"/>
      <c r="K13" s="14"/>
      <c r="L13" s="14"/>
      <c r="M13" s="14"/>
      <c r="N13" s="14"/>
      <c r="O13" s="14"/>
      <c r="P13" s="14"/>
      <c r="Q13" s="14"/>
      <c r="R13" s="14"/>
      <c r="S13" s="14"/>
      <c r="T13" s="14"/>
      <c r="U13" s="14"/>
      <c r="V13" s="14"/>
      <c r="W13" s="14"/>
      <c r="X13" s="14"/>
      <c r="Y13" s="14"/>
      <c r="Z13" s="14"/>
      <c r="AA13" s="7"/>
      <c r="AB13" s="9"/>
      <c r="AC13" s="9"/>
      <c r="AD13" s="7"/>
      <c r="AE13" s="7"/>
      <c r="AF13" s="7"/>
      <c r="AG13" s="7"/>
      <c r="AH13" s="7"/>
      <c r="AI13" s="7"/>
      <c r="AJ13" s="7"/>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row>
    <row r="14" spans="1:136" s="5" customFormat="1" ht="18" customHeight="1">
      <c r="A14" s="7"/>
      <c r="B14" s="7"/>
      <c r="C14" s="7"/>
      <c r="D14" s="7"/>
      <c r="E14" s="7"/>
      <c r="F14" s="7"/>
      <c r="G14" s="9"/>
      <c r="H14" s="7"/>
      <c r="I14" s="7"/>
      <c r="J14" s="14"/>
      <c r="K14" s="14"/>
      <c r="L14" s="14"/>
      <c r="M14" s="14"/>
      <c r="N14" s="14"/>
      <c r="O14" s="14"/>
      <c r="P14" s="14"/>
      <c r="Q14" s="14"/>
      <c r="R14" s="14"/>
      <c r="S14" s="14"/>
      <c r="T14" s="14"/>
      <c r="U14" s="14"/>
      <c r="V14" s="14"/>
      <c r="W14" s="14"/>
      <c r="X14" s="14"/>
      <c r="Y14" s="14"/>
      <c r="Z14" s="14"/>
      <c r="AA14" s="7"/>
      <c r="AB14" s="8"/>
      <c r="AC14" s="8"/>
      <c r="AD14" s="7"/>
      <c r="AE14" s="7"/>
      <c r="AF14" s="7"/>
      <c r="AG14" s="7"/>
      <c r="AH14" s="7"/>
      <c r="AI14" s="7"/>
      <c r="AJ14" s="7"/>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row>
    <row r="15" spans="1:136" s="5" customFormat="1" ht="18" customHeight="1">
      <c r="A15" s="7"/>
      <c r="B15" s="7"/>
      <c r="C15" s="7"/>
      <c r="D15" s="7"/>
      <c r="E15" s="9"/>
      <c r="F15" s="7"/>
      <c r="G15" s="9"/>
      <c r="H15" s="7"/>
      <c r="I15" s="7"/>
      <c r="J15" s="14"/>
      <c r="K15" s="14"/>
      <c r="L15" s="14"/>
      <c r="M15" s="14"/>
      <c r="N15" s="14"/>
      <c r="O15" s="14"/>
      <c r="P15" s="14"/>
      <c r="Q15" s="14"/>
      <c r="R15" s="14"/>
      <c r="S15" s="14"/>
      <c r="T15" s="14"/>
      <c r="U15" s="14"/>
      <c r="V15" s="14"/>
      <c r="W15" s="14"/>
      <c r="X15" s="14"/>
      <c r="Y15" s="14"/>
      <c r="Z15" s="14"/>
      <c r="AA15" s="7"/>
      <c r="AB15" s="9"/>
      <c r="AC15" s="9"/>
      <c r="AD15" s="7"/>
      <c r="AE15" s="7"/>
      <c r="AF15" s="7"/>
      <c r="AG15" s="7"/>
      <c r="AH15" s="7"/>
      <c r="AI15" s="7"/>
      <c r="AJ15" s="7"/>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row>
    <row r="16" spans="1:136" s="5" customFormat="1" ht="18" customHeight="1">
      <c r="A16" s="7"/>
      <c r="B16" s="7"/>
      <c r="C16" s="7"/>
      <c r="D16" s="7"/>
      <c r="E16" s="9"/>
      <c r="F16" s="7"/>
      <c r="G16" s="9"/>
      <c r="H16" s="7"/>
      <c r="I16" s="7"/>
      <c r="J16" s="14"/>
      <c r="K16" s="14"/>
      <c r="L16" s="14"/>
      <c r="M16" s="14"/>
      <c r="N16" s="14"/>
      <c r="O16" s="14"/>
      <c r="P16" s="14"/>
      <c r="Q16" s="14"/>
      <c r="R16" s="14"/>
      <c r="S16" s="14"/>
      <c r="T16" s="14"/>
      <c r="U16" s="14"/>
      <c r="V16" s="14"/>
      <c r="W16" s="14"/>
      <c r="X16" s="14"/>
      <c r="Y16" s="14"/>
      <c r="Z16" s="14"/>
      <c r="AA16" s="7"/>
      <c r="AB16" s="9"/>
      <c r="AC16" s="9"/>
      <c r="AD16" s="7"/>
      <c r="AE16" s="7"/>
      <c r="AF16" s="7"/>
      <c r="AG16" s="7"/>
      <c r="AH16" s="7"/>
      <c r="AI16" s="7"/>
      <c r="AJ16" s="7"/>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row>
    <row r="17" spans="1:136" s="6" customFormat="1" ht="18" customHeight="1">
      <c r="A17" s="7"/>
      <c r="B17" s="7"/>
      <c r="C17" s="7"/>
      <c r="D17" s="7"/>
      <c r="E17" s="7"/>
      <c r="F17" s="7"/>
      <c r="G17" s="7"/>
      <c r="H17" s="7"/>
      <c r="I17" s="7"/>
      <c r="J17" s="14"/>
      <c r="K17" s="14"/>
      <c r="L17" s="14"/>
      <c r="M17" s="14"/>
      <c r="N17" s="14"/>
      <c r="O17" s="14"/>
      <c r="P17" s="14"/>
      <c r="Q17" s="14"/>
      <c r="R17" s="14"/>
      <c r="S17" s="14"/>
      <c r="T17" s="14"/>
      <c r="U17" s="14"/>
      <c r="V17" s="14"/>
      <c r="W17" s="14"/>
      <c r="X17" s="14"/>
      <c r="Y17" s="14"/>
      <c r="Z17" s="14"/>
      <c r="AA17" s="7"/>
      <c r="AB17" s="7"/>
      <c r="AC17" s="7"/>
      <c r="AD17" s="7"/>
      <c r="AE17" s="7"/>
      <c r="AF17" s="10"/>
      <c r="AG17" s="10"/>
      <c r="AH17" s="10"/>
      <c r="AI17" s="7"/>
      <c r="AJ17" s="7"/>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row>
    <row r="18" spans="1:136" s="4" customFormat="1" ht="18" customHeight="1">
      <c r="A18" s="7"/>
      <c r="B18" s="7"/>
      <c r="C18" s="7"/>
      <c r="D18" s="7"/>
      <c r="E18" s="9"/>
      <c r="F18" s="7"/>
      <c r="G18" s="9"/>
      <c r="H18" s="9"/>
      <c r="I18" s="9"/>
      <c r="J18" s="14"/>
      <c r="K18" s="14"/>
      <c r="L18" s="14"/>
      <c r="M18" s="14"/>
      <c r="N18" s="14"/>
      <c r="O18" s="14"/>
      <c r="P18" s="14"/>
      <c r="Q18" s="14"/>
      <c r="R18" s="14"/>
      <c r="S18" s="14"/>
      <c r="T18" s="14"/>
      <c r="U18" s="14"/>
      <c r="V18" s="14"/>
      <c r="W18" s="14"/>
      <c r="X18" s="14"/>
      <c r="Y18" s="14"/>
      <c r="Z18" s="14"/>
      <c r="AA18" s="9"/>
      <c r="AB18" s="9"/>
      <c r="AC18" s="11"/>
      <c r="AD18" s="11"/>
      <c r="AE18" s="7"/>
      <c r="AF18" s="12"/>
      <c r="AG18" s="12"/>
      <c r="AH18" s="12"/>
      <c r="AI18" s="7"/>
      <c r="AJ18" s="7"/>
      <c r="AK18" s="7"/>
      <c r="AL18" s="7"/>
      <c r="AM18" s="7"/>
      <c r="AN18" s="7"/>
      <c r="AO18" s="16"/>
      <c r="AP18" s="7"/>
      <c r="AQ18" s="7"/>
      <c r="AR18" s="7"/>
      <c r="AS18" s="7"/>
      <c r="AT18" s="7"/>
      <c r="AU18" s="16"/>
      <c r="AV18" s="7"/>
      <c r="AW18" s="7"/>
      <c r="AX18" s="7"/>
      <c r="AY18" s="7"/>
      <c r="AZ18" s="7"/>
      <c r="BA18" s="7"/>
      <c r="BB18" s="16"/>
      <c r="BC18" s="7"/>
      <c r="BD18" s="7"/>
      <c r="BE18" s="7"/>
      <c r="BF18" s="16"/>
      <c r="BG18" s="7"/>
      <c r="BH18" s="7"/>
      <c r="BI18" s="7"/>
      <c r="BJ18" s="7"/>
      <c r="BK18" s="7"/>
      <c r="BL18" s="7"/>
      <c r="BM18" s="7"/>
      <c r="BN18" s="16"/>
      <c r="BO18" s="7"/>
      <c r="BP18" s="7"/>
      <c r="BQ18" s="7"/>
      <c r="BR18" s="7"/>
      <c r="BS18" s="16"/>
      <c r="BT18" s="7"/>
      <c r="BU18" s="7"/>
      <c r="BV18" s="7"/>
      <c r="BW18" s="7"/>
      <c r="BX18" s="16"/>
      <c r="BY18" s="16"/>
      <c r="BZ18" s="7"/>
      <c r="CA18" s="7"/>
      <c r="CB18" s="7"/>
      <c r="CC18" s="7"/>
      <c r="CD18" s="16"/>
      <c r="CE18" s="7"/>
      <c r="CF18" s="7"/>
      <c r="CG18" s="7"/>
      <c r="CH18" s="7"/>
      <c r="CI18" s="16"/>
      <c r="CJ18" s="7"/>
      <c r="CK18" s="7"/>
      <c r="CL18" s="7"/>
      <c r="CM18" s="7"/>
      <c r="CN18" s="7"/>
      <c r="CO18" s="7"/>
      <c r="CP18" s="7"/>
      <c r="CQ18" s="16"/>
      <c r="CR18" s="7"/>
      <c r="CS18" s="7"/>
      <c r="CT18" s="7"/>
      <c r="CU18" s="7"/>
      <c r="CV18" s="7"/>
      <c r="CW18" s="16"/>
      <c r="CX18" s="7"/>
      <c r="CY18" s="16"/>
      <c r="CZ18" s="7"/>
      <c r="DA18" s="7"/>
      <c r="DB18" s="7"/>
      <c r="DC18" s="7"/>
      <c r="DD18" s="7"/>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row>
    <row r="19" spans="1:136" s="4" customFormat="1" ht="18" customHeight="1">
      <c r="A19" s="7"/>
      <c r="B19" s="7"/>
      <c r="C19" s="7"/>
      <c r="D19" s="7"/>
      <c r="E19" s="9"/>
      <c r="F19" s="7"/>
      <c r="G19" s="9"/>
      <c r="H19" s="9"/>
      <c r="I19" s="9"/>
      <c r="J19" s="14"/>
      <c r="K19" s="14"/>
      <c r="L19" s="14"/>
      <c r="M19" s="14"/>
      <c r="N19" s="14"/>
      <c r="O19" s="14"/>
      <c r="P19" s="14"/>
      <c r="Q19" s="14"/>
      <c r="R19" s="14"/>
      <c r="S19" s="14"/>
      <c r="T19" s="14"/>
      <c r="U19" s="14"/>
      <c r="V19" s="14"/>
      <c r="W19" s="14"/>
      <c r="X19" s="14"/>
      <c r="Y19" s="14"/>
      <c r="Z19" s="14"/>
      <c r="AA19" s="9"/>
      <c r="AB19" s="9"/>
      <c r="AC19" s="11"/>
      <c r="AD19" s="11"/>
      <c r="AE19" s="7"/>
      <c r="AF19" s="12"/>
      <c r="AG19" s="12"/>
      <c r="AH19" s="12"/>
      <c r="AI19" s="7"/>
      <c r="AJ19" s="7"/>
      <c r="AK19" s="7"/>
      <c r="AL19" s="7"/>
      <c r="AM19" s="7"/>
      <c r="AN19" s="7"/>
      <c r="AO19" s="16"/>
      <c r="AP19" s="7"/>
      <c r="AQ19" s="7"/>
      <c r="AR19" s="7"/>
      <c r="AS19" s="7"/>
      <c r="AT19" s="7"/>
      <c r="AU19" s="16"/>
      <c r="AV19" s="7"/>
      <c r="AW19" s="7"/>
      <c r="AX19" s="7"/>
      <c r="AY19" s="7"/>
      <c r="AZ19" s="7"/>
      <c r="BA19" s="7"/>
      <c r="BB19" s="16"/>
      <c r="BC19" s="7"/>
      <c r="BD19" s="7"/>
      <c r="BE19" s="7"/>
      <c r="BF19" s="16"/>
      <c r="BG19" s="7"/>
      <c r="BH19" s="7"/>
      <c r="BI19" s="7"/>
      <c r="BJ19" s="7"/>
      <c r="BK19" s="7"/>
      <c r="BL19" s="7"/>
      <c r="BM19" s="7"/>
      <c r="BN19" s="16"/>
      <c r="BO19" s="7"/>
      <c r="BP19" s="7"/>
      <c r="BQ19" s="7"/>
      <c r="BR19" s="7"/>
      <c r="BS19" s="16"/>
      <c r="BT19" s="7"/>
      <c r="BU19" s="7"/>
      <c r="BV19" s="7"/>
      <c r="BW19" s="7"/>
      <c r="BX19" s="16"/>
      <c r="BY19" s="16"/>
      <c r="BZ19" s="7"/>
      <c r="CA19" s="7"/>
      <c r="CB19" s="7"/>
      <c r="CC19" s="7"/>
      <c r="CD19" s="16"/>
      <c r="CE19" s="7"/>
      <c r="CF19" s="7"/>
      <c r="CG19" s="7"/>
      <c r="CH19" s="7"/>
      <c r="CI19" s="16"/>
      <c r="CJ19" s="7"/>
      <c r="CK19" s="7"/>
      <c r="CL19" s="7"/>
      <c r="CM19" s="7"/>
      <c r="CN19" s="7"/>
      <c r="CO19" s="7"/>
      <c r="CP19" s="7"/>
      <c r="CQ19" s="16"/>
      <c r="CR19" s="7"/>
      <c r="CS19" s="7"/>
      <c r="CT19" s="7"/>
      <c r="CU19" s="7"/>
      <c r="CV19" s="7"/>
      <c r="CW19" s="16"/>
      <c r="CX19" s="7"/>
      <c r="CY19" s="16"/>
      <c r="CZ19" s="7"/>
      <c r="DA19" s="7"/>
      <c r="DB19" s="7"/>
      <c r="DC19" s="7"/>
      <c r="DD19" s="7"/>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row>
    <row r="20" spans="1:136" s="4" customFormat="1" ht="18" customHeight="1">
      <c r="A20" s="7"/>
      <c r="B20" s="7"/>
      <c r="C20" s="7"/>
      <c r="D20" s="7"/>
      <c r="E20" s="9"/>
      <c r="F20" s="7"/>
      <c r="G20" s="9"/>
      <c r="H20" s="9"/>
      <c r="I20" s="9"/>
      <c r="J20" s="14"/>
      <c r="K20" s="14"/>
      <c r="L20" s="14"/>
      <c r="M20" s="14"/>
      <c r="N20" s="14"/>
      <c r="O20" s="14"/>
      <c r="P20" s="14"/>
      <c r="Q20" s="14"/>
      <c r="R20" s="14"/>
      <c r="S20" s="14"/>
      <c r="T20" s="14"/>
      <c r="U20" s="14"/>
      <c r="V20" s="14"/>
      <c r="W20" s="14"/>
      <c r="X20" s="14"/>
      <c r="Y20" s="14"/>
      <c r="Z20" s="14"/>
      <c r="AA20" s="9"/>
      <c r="AB20" s="9"/>
      <c r="AC20" s="11"/>
      <c r="AD20" s="11"/>
      <c r="AE20" s="7"/>
      <c r="AF20" s="12"/>
      <c r="AG20" s="12"/>
      <c r="AH20" s="12"/>
      <c r="AI20" s="7"/>
      <c r="AJ20" s="7"/>
      <c r="AK20" s="7"/>
      <c r="AL20" s="7"/>
      <c r="AM20" s="7"/>
      <c r="AN20" s="7"/>
      <c r="AO20" s="16"/>
      <c r="AP20" s="7"/>
      <c r="AQ20" s="7"/>
      <c r="AR20" s="7"/>
      <c r="AS20" s="7"/>
      <c r="AT20" s="7"/>
      <c r="AU20" s="16"/>
      <c r="AV20" s="7"/>
      <c r="AW20" s="7"/>
      <c r="AX20" s="7"/>
      <c r="AY20" s="7"/>
      <c r="AZ20" s="7"/>
      <c r="BA20" s="7"/>
      <c r="BB20" s="16"/>
      <c r="BC20" s="7"/>
      <c r="BD20" s="7"/>
      <c r="BE20" s="7"/>
      <c r="BF20" s="16"/>
      <c r="BG20" s="7"/>
      <c r="BH20" s="7"/>
      <c r="BI20" s="7"/>
      <c r="BJ20" s="7"/>
      <c r="BK20" s="7"/>
      <c r="BL20" s="7"/>
      <c r="BM20" s="7"/>
      <c r="BN20" s="16"/>
      <c r="BO20" s="7"/>
      <c r="BP20" s="7"/>
      <c r="BQ20" s="7"/>
      <c r="BR20" s="7"/>
      <c r="BS20" s="16"/>
      <c r="BT20" s="7"/>
      <c r="BU20" s="7"/>
      <c r="BV20" s="7"/>
      <c r="BW20" s="7"/>
      <c r="BX20" s="16"/>
      <c r="BY20" s="16"/>
      <c r="BZ20" s="7"/>
      <c r="CA20" s="7"/>
      <c r="CB20" s="7"/>
      <c r="CC20" s="7"/>
      <c r="CD20" s="16"/>
      <c r="CE20" s="7"/>
      <c r="CF20" s="7"/>
      <c r="CG20" s="7"/>
      <c r="CH20" s="7"/>
      <c r="CI20" s="16"/>
      <c r="CJ20" s="7"/>
      <c r="CK20" s="7"/>
      <c r="CL20" s="7"/>
      <c r="CM20" s="7"/>
      <c r="CN20" s="7"/>
      <c r="CO20" s="7"/>
      <c r="CP20" s="7"/>
      <c r="CQ20" s="16"/>
      <c r="CR20" s="7"/>
      <c r="CS20" s="7"/>
      <c r="CT20" s="7"/>
      <c r="CU20" s="7"/>
      <c r="CV20" s="7"/>
      <c r="CW20" s="16"/>
      <c r="CX20" s="7"/>
      <c r="CY20" s="16"/>
      <c r="CZ20" s="7"/>
      <c r="DA20" s="7"/>
      <c r="DB20" s="7"/>
      <c r="DC20" s="7"/>
      <c r="DD20" s="7"/>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row>
    <row r="21" spans="1:136" s="4" customFormat="1" ht="18" customHeight="1">
      <c r="A21" s="7"/>
      <c r="B21" s="7"/>
      <c r="C21" s="7"/>
      <c r="D21" s="7"/>
      <c r="E21" s="9"/>
      <c r="F21" s="7"/>
      <c r="G21" s="9"/>
      <c r="H21" s="9"/>
      <c r="I21" s="9"/>
      <c r="J21" s="14"/>
      <c r="K21" s="14"/>
      <c r="L21" s="14"/>
      <c r="M21" s="14"/>
      <c r="N21" s="14"/>
      <c r="O21" s="14"/>
      <c r="P21" s="14"/>
      <c r="Q21" s="14"/>
      <c r="R21" s="14"/>
      <c r="S21" s="14"/>
      <c r="T21" s="14"/>
      <c r="U21" s="14"/>
      <c r="V21" s="14"/>
      <c r="W21" s="14"/>
      <c r="X21" s="14"/>
      <c r="Y21" s="14"/>
      <c r="Z21" s="14"/>
      <c r="AA21" s="9"/>
      <c r="AB21" s="9"/>
      <c r="AC21" s="11"/>
      <c r="AD21" s="11"/>
      <c r="AE21" s="7"/>
      <c r="AF21" s="12"/>
      <c r="AG21" s="12"/>
      <c r="AH21" s="12"/>
      <c r="AI21" s="7"/>
      <c r="AJ21" s="7"/>
      <c r="AK21" s="7"/>
      <c r="AL21" s="7"/>
      <c r="AM21" s="7"/>
      <c r="AN21" s="7"/>
      <c r="AO21" s="16"/>
      <c r="AP21" s="7"/>
      <c r="AQ21" s="7"/>
      <c r="AR21" s="7"/>
      <c r="AS21" s="7"/>
      <c r="AT21" s="7"/>
      <c r="AU21" s="16"/>
      <c r="AV21" s="7"/>
      <c r="AW21" s="7"/>
      <c r="AX21" s="7"/>
      <c r="AY21" s="7"/>
      <c r="AZ21" s="7"/>
      <c r="BA21" s="7"/>
      <c r="BB21" s="16"/>
      <c r="BC21" s="7"/>
      <c r="BD21" s="7"/>
      <c r="BE21" s="7"/>
      <c r="BF21" s="16"/>
      <c r="BG21" s="7"/>
      <c r="BH21" s="7"/>
      <c r="BI21" s="7"/>
      <c r="BJ21" s="7"/>
      <c r="BK21" s="7"/>
      <c r="BL21" s="7"/>
      <c r="BM21" s="7"/>
      <c r="BN21" s="16"/>
      <c r="BO21" s="7"/>
      <c r="BP21" s="7"/>
      <c r="BQ21" s="7"/>
      <c r="BR21" s="7"/>
      <c r="BS21" s="16"/>
      <c r="BT21" s="7"/>
      <c r="BU21" s="7"/>
      <c r="BV21" s="7"/>
      <c r="BW21" s="7"/>
      <c r="BX21" s="16"/>
      <c r="BY21" s="16"/>
      <c r="BZ21" s="7"/>
      <c r="CA21" s="7"/>
      <c r="CB21" s="7"/>
      <c r="CC21" s="7"/>
      <c r="CD21" s="16"/>
      <c r="CE21" s="7"/>
      <c r="CF21" s="7"/>
      <c r="CG21" s="7"/>
      <c r="CH21" s="7"/>
      <c r="CI21" s="16"/>
      <c r="CJ21" s="7"/>
      <c r="CK21" s="7"/>
      <c r="CL21" s="7"/>
      <c r="CM21" s="7"/>
      <c r="CN21" s="7"/>
      <c r="CO21" s="7"/>
      <c r="CP21" s="7"/>
      <c r="CQ21" s="16"/>
      <c r="CR21" s="7"/>
      <c r="CS21" s="7"/>
      <c r="CT21" s="7"/>
      <c r="CU21" s="7"/>
      <c r="CV21" s="7"/>
      <c r="CW21" s="16"/>
      <c r="CX21" s="7"/>
      <c r="CY21" s="16"/>
      <c r="CZ21" s="7"/>
      <c r="DA21" s="7"/>
      <c r="DB21" s="7"/>
      <c r="DC21" s="7"/>
      <c r="DD21" s="7"/>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row>
    <row r="22" spans="1:136" s="4" customFormat="1" ht="18" customHeight="1">
      <c r="A22" s="7"/>
      <c r="B22" s="7"/>
      <c r="C22" s="7"/>
      <c r="D22" s="7"/>
      <c r="E22" s="9"/>
      <c r="F22" s="7"/>
      <c r="G22" s="9"/>
      <c r="H22" s="25"/>
      <c r="I22" s="9"/>
      <c r="J22" s="14"/>
      <c r="K22" s="14"/>
      <c r="L22" s="14"/>
      <c r="M22" s="14"/>
      <c r="N22" s="14"/>
      <c r="O22" s="14"/>
      <c r="P22" s="14"/>
      <c r="Q22" s="14"/>
      <c r="R22" s="14"/>
      <c r="S22" s="14"/>
      <c r="T22" s="14"/>
      <c r="U22" s="14"/>
      <c r="V22" s="14"/>
      <c r="W22" s="14"/>
      <c r="X22" s="14"/>
      <c r="Y22" s="14"/>
      <c r="Z22" s="14"/>
      <c r="AA22" s="9"/>
      <c r="AB22" s="9"/>
      <c r="AC22" s="11"/>
      <c r="AD22" s="11"/>
      <c r="AE22" s="7"/>
      <c r="AF22" s="12"/>
      <c r="AG22" s="12"/>
      <c r="AH22" s="12"/>
      <c r="AI22" s="7"/>
      <c r="AJ22" s="7"/>
      <c r="AK22" s="7"/>
      <c r="AL22" s="7"/>
      <c r="AM22" s="7"/>
      <c r="AN22" s="7"/>
      <c r="AO22" s="16"/>
      <c r="AP22" s="7"/>
      <c r="AQ22" s="7"/>
      <c r="AR22" s="7"/>
      <c r="AS22" s="7"/>
      <c r="AT22" s="7"/>
      <c r="AU22" s="16"/>
      <c r="AV22" s="7"/>
      <c r="AW22" s="7"/>
      <c r="AX22" s="7"/>
      <c r="AY22" s="7"/>
      <c r="AZ22" s="7"/>
      <c r="BA22" s="7"/>
      <c r="BB22" s="16"/>
      <c r="BC22" s="7"/>
      <c r="BD22" s="7"/>
      <c r="BE22" s="7"/>
      <c r="BF22" s="16"/>
      <c r="BG22" s="7"/>
      <c r="BH22" s="7"/>
      <c r="BI22" s="7"/>
      <c r="BJ22" s="7"/>
      <c r="BK22" s="7"/>
      <c r="BL22" s="7"/>
      <c r="BM22" s="7"/>
      <c r="BN22" s="16"/>
      <c r="BO22" s="7"/>
      <c r="BP22" s="7"/>
      <c r="BQ22" s="7"/>
      <c r="BR22" s="7"/>
      <c r="BS22" s="16"/>
      <c r="BT22" s="7"/>
      <c r="BU22" s="7"/>
      <c r="BV22" s="7"/>
      <c r="BW22" s="7"/>
      <c r="BX22" s="16"/>
      <c r="BY22" s="16"/>
      <c r="BZ22" s="7"/>
      <c r="CA22" s="7"/>
      <c r="CB22" s="7"/>
      <c r="CC22" s="7"/>
      <c r="CD22" s="16"/>
      <c r="CE22" s="7"/>
      <c r="CF22" s="7"/>
      <c r="CG22" s="7"/>
      <c r="CH22" s="7"/>
      <c r="CI22" s="16"/>
      <c r="CJ22" s="7"/>
      <c r="CK22" s="7"/>
      <c r="CL22" s="7"/>
      <c r="CM22" s="7"/>
      <c r="CN22" s="7"/>
      <c r="CO22" s="7"/>
      <c r="CP22" s="7"/>
      <c r="CQ22" s="16"/>
      <c r="CR22" s="7"/>
      <c r="CS22" s="7"/>
      <c r="CT22" s="7"/>
      <c r="CU22" s="7"/>
      <c r="CV22" s="7"/>
      <c r="CW22" s="16"/>
      <c r="CX22" s="7"/>
      <c r="CY22" s="16"/>
      <c r="CZ22" s="7"/>
      <c r="DA22" s="7"/>
      <c r="DB22" s="7"/>
      <c r="DC22" s="7"/>
      <c r="DD22" s="7"/>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row>
    <row r="23" spans="1:136" s="4" customFormat="1" ht="18" customHeight="1">
      <c r="A23" s="7"/>
      <c r="B23" s="7"/>
      <c r="C23" s="7"/>
      <c r="D23" s="7"/>
      <c r="E23" s="9"/>
      <c r="F23" s="7"/>
      <c r="G23" s="9"/>
      <c r="H23" s="9"/>
      <c r="I23" s="9"/>
      <c r="J23" s="14"/>
      <c r="K23" s="14"/>
      <c r="L23" s="14"/>
      <c r="M23" s="14"/>
      <c r="N23" s="14"/>
      <c r="O23" s="14"/>
      <c r="P23" s="14"/>
      <c r="Q23" s="14"/>
      <c r="R23" s="14"/>
      <c r="S23" s="14"/>
      <c r="T23" s="14"/>
      <c r="U23" s="14"/>
      <c r="V23" s="14"/>
      <c r="W23" s="14"/>
      <c r="X23" s="14"/>
      <c r="Y23" s="14"/>
      <c r="Z23" s="14"/>
      <c r="AA23" s="9"/>
      <c r="AB23" s="9"/>
      <c r="AC23" s="11"/>
      <c r="AD23" s="11"/>
      <c r="AE23" s="7"/>
      <c r="AF23" s="12"/>
      <c r="AG23" s="12"/>
      <c r="AH23" s="12"/>
      <c r="AI23" s="7"/>
      <c r="AJ23" s="7"/>
      <c r="AK23" s="7"/>
      <c r="AL23" s="7"/>
      <c r="AM23" s="7"/>
      <c r="AN23" s="7"/>
      <c r="AO23" s="16"/>
      <c r="AP23" s="7"/>
      <c r="AQ23" s="7"/>
      <c r="AR23" s="7"/>
      <c r="AS23" s="7"/>
      <c r="AT23" s="7"/>
      <c r="AU23" s="16"/>
      <c r="AV23" s="7"/>
      <c r="AW23" s="7"/>
      <c r="AX23" s="7"/>
      <c r="AY23" s="7"/>
      <c r="AZ23" s="7"/>
      <c r="BA23" s="7"/>
      <c r="BB23" s="16"/>
      <c r="BC23" s="7"/>
      <c r="BD23" s="7"/>
      <c r="BE23" s="7"/>
      <c r="BF23" s="16"/>
      <c r="BG23" s="7"/>
      <c r="BH23" s="7"/>
      <c r="BI23" s="7"/>
      <c r="BJ23" s="7"/>
      <c r="BK23" s="7"/>
      <c r="BL23" s="7"/>
      <c r="BM23" s="7"/>
      <c r="BN23" s="16"/>
      <c r="BO23" s="7"/>
      <c r="BP23" s="7"/>
      <c r="BQ23" s="7"/>
      <c r="BR23" s="7"/>
      <c r="BS23" s="16"/>
      <c r="BT23" s="7"/>
      <c r="BU23" s="7"/>
      <c r="BV23" s="7"/>
      <c r="BW23" s="7"/>
      <c r="BX23" s="16"/>
      <c r="BY23" s="16"/>
      <c r="BZ23" s="7"/>
      <c r="CA23" s="7"/>
      <c r="CB23" s="7"/>
      <c r="CC23" s="7"/>
      <c r="CD23" s="16"/>
      <c r="CE23" s="7"/>
      <c r="CF23" s="7"/>
      <c r="CG23" s="7"/>
      <c r="CH23" s="7"/>
      <c r="CI23" s="16"/>
      <c r="CJ23" s="7"/>
      <c r="CK23" s="7"/>
      <c r="CL23" s="7"/>
      <c r="CM23" s="7"/>
      <c r="CN23" s="7"/>
      <c r="CO23" s="7"/>
      <c r="CP23" s="7"/>
      <c r="CQ23" s="16"/>
      <c r="CR23" s="7"/>
      <c r="CS23" s="7"/>
      <c r="CT23" s="7"/>
      <c r="CU23" s="7"/>
      <c r="CV23" s="7"/>
      <c r="CW23" s="16"/>
      <c r="CX23" s="7"/>
      <c r="CY23" s="16"/>
      <c r="CZ23" s="7"/>
      <c r="DA23" s="7"/>
      <c r="DB23" s="7"/>
      <c r="DC23" s="7"/>
      <c r="DD23" s="7"/>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row>
    <row r="24" spans="1:136" s="4" customFormat="1" ht="18" customHeight="1">
      <c r="A24" s="7"/>
      <c r="B24" s="7"/>
      <c r="C24" s="7"/>
      <c r="D24" s="7"/>
      <c r="E24" s="9"/>
      <c r="F24" s="7"/>
      <c r="G24" s="9"/>
      <c r="H24" s="9"/>
      <c r="I24" s="9"/>
      <c r="J24" s="14"/>
      <c r="K24" s="14"/>
      <c r="L24" s="14"/>
      <c r="M24" s="14"/>
      <c r="N24" s="14"/>
      <c r="O24" s="14"/>
      <c r="P24" s="14"/>
      <c r="Q24" s="14"/>
      <c r="R24" s="14"/>
      <c r="S24" s="14"/>
      <c r="T24" s="14"/>
      <c r="U24" s="14"/>
      <c r="V24" s="14"/>
      <c r="W24" s="14"/>
      <c r="X24" s="14"/>
      <c r="Y24" s="14"/>
      <c r="Z24" s="14"/>
      <c r="AA24" s="9"/>
      <c r="AB24" s="9"/>
      <c r="AC24" s="11"/>
      <c r="AD24" s="11"/>
      <c r="AE24" s="7"/>
      <c r="AF24" s="12"/>
      <c r="AG24" s="12"/>
      <c r="AH24" s="12"/>
      <c r="AI24" s="7"/>
      <c r="AJ24" s="7"/>
      <c r="AK24" s="7"/>
      <c r="AL24" s="7"/>
      <c r="AM24" s="7"/>
      <c r="AN24" s="7"/>
      <c r="AO24" s="16"/>
      <c r="AP24" s="7"/>
      <c r="AQ24" s="7"/>
      <c r="AR24" s="7"/>
      <c r="AS24" s="7"/>
      <c r="AT24" s="7"/>
      <c r="AU24" s="16"/>
      <c r="AV24" s="7"/>
      <c r="AW24" s="7"/>
      <c r="AX24" s="7"/>
      <c r="AY24" s="7"/>
      <c r="AZ24" s="7"/>
      <c r="BA24" s="7"/>
      <c r="BB24" s="16"/>
      <c r="BC24" s="7"/>
      <c r="BD24" s="7"/>
      <c r="BE24" s="7"/>
      <c r="BF24" s="16"/>
      <c r="BG24" s="7"/>
      <c r="BH24" s="7"/>
      <c r="BI24" s="7"/>
      <c r="BJ24" s="7"/>
      <c r="BK24" s="7"/>
      <c r="BL24" s="7"/>
      <c r="BM24" s="7"/>
      <c r="BN24" s="16"/>
      <c r="BO24" s="7"/>
      <c r="BP24" s="7"/>
      <c r="BQ24" s="7"/>
      <c r="BR24" s="7"/>
      <c r="BS24" s="16"/>
      <c r="BT24" s="7"/>
      <c r="BU24" s="7"/>
      <c r="BV24" s="7"/>
      <c r="BW24" s="7"/>
      <c r="BX24" s="16"/>
      <c r="BY24" s="16"/>
      <c r="BZ24" s="7"/>
      <c r="CA24" s="7"/>
      <c r="CB24" s="7"/>
      <c r="CC24" s="7"/>
      <c r="CD24" s="16"/>
      <c r="CE24" s="7"/>
      <c r="CF24" s="7"/>
      <c r="CG24" s="7"/>
      <c r="CH24" s="7"/>
      <c r="CI24" s="16"/>
      <c r="CJ24" s="7"/>
      <c r="CK24" s="7"/>
      <c r="CL24" s="7"/>
      <c r="CM24" s="7"/>
      <c r="CN24" s="7"/>
      <c r="CO24" s="7"/>
      <c r="CP24" s="7"/>
      <c r="CQ24" s="16"/>
      <c r="CR24" s="7"/>
      <c r="CS24" s="7"/>
      <c r="CT24" s="7"/>
      <c r="CU24" s="7"/>
      <c r="CV24" s="7"/>
      <c r="CW24" s="16"/>
      <c r="CX24" s="7"/>
      <c r="CY24" s="16"/>
      <c r="CZ24" s="7"/>
      <c r="DA24" s="7"/>
      <c r="DB24" s="7"/>
      <c r="DC24" s="7"/>
      <c r="DD24" s="7"/>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row>
    <row r="25" spans="1:136" s="4" customFormat="1" ht="18" customHeight="1">
      <c r="A25" s="7"/>
      <c r="B25" s="7"/>
      <c r="C25" s="7"/>
      <c r="D25" s="7"/>
      <c r="E25" s="9"/>
      <c r="F25" s="7"/>
      <c r="G25" s="9"/>
      <c r="H25" s="9"/>
      <c r="I25" s="9"/>
      <c r="J25" s="14"/>
      <c r="K25" s="14"/>
      <c r="L25" s="14"/>
      <c r="M25" s="14"/>
      <c r="N25" s="14"/>
      <c r="O25" s="14"/>
      <c r="P25" s="14"/>
      <c r="Q25" s="14"/>
      <c r="R25" s="14"/>
      <c r="S25" s="14"/>
      <c r="T25" s="14"/>
      <c r="U25" s="14"/>
      <c r="V25" s="14"/>
      <c r="W25" s="14"/>
      <c r="X25" s="14"/>
      <c r="Y25" s="14"/>
      <c r="Z25" s="14"/>
      <c r="AA25" s="9"/>
      <c r="AB25" s="9"/>
      <c r="AC25" s="13"/>
      <c r="AD25" s="13"/>
      <c r="AE25" s="7"/>
      <c r="AF25" s="12"/>
      <c r="AG25" s="12"/>
      <c r="AH25" s="12"/>
      <c r="AI25" s="7"/>
      <c r="AJ25" s="7"/>
      <c r="AK25" s="7"/>
      <c r="AL25" s="7"/>
      <c r="AM25" s="7"/>
      <c r="AN25" s="7"/>
      <c r="AO25" s="16"/>
      <c r="AP25" s="7"/>
      <c r="AQ25" s="7"/>
      <c r="AR25" s="7"/>
      <c r="AS25" s="7"/>
      <c r="AT25" s="7"/>
      <c r="AU25" s="16"/>
      <c r="AV25" s="7"/>
      <c r="AW25" s="7"/>
      <c r="AX25" s="7"/>
      <c r="AY25" s="7"/>
      <c r="AZ25" s="7"/>
      <c r="BA25" s="7"/>
      <c r="BB25" s="16"/>
      <c r="BC25" s="7"/>
      <c r="BD25" s="7"/>
      <c r="BE25" s="7"/>
      <c r="BF25" s="16"/>
      <c r="BG25" s="7"/>
      <c r="BH25" s="7"/>
      <c r="BI25" s="7"/>
      <c r="BJ25" s="7"/>
      <c r="BK25" s="7"/>
      <c r="BL25" s="7"/>
      <c r="BM25" s="7"/>
      <c r="BN25" s="16"/>
      <c r="BO25" s="7"/>
      <c r="BP25" s="7"/>
      <c r="BQ25" s="7"/>
      <c r="BR25" s="7"/>
      <c r="BS25" s="16"/>
      <c r="BT25" s="7"/>
      <c r="BU25" s="7"/>
      <c r="BV25" s="7"/>
      <c r="BW25" s="7"/>
      <c r="BX25" s="16"/>
      <c r="BY25" s="16"/>
      <c r="BZ25" s="7"/>
      <c r="CA25" s="7"/>
      <c r="CB25" s="7"/>
      <c r="CC25" s="7"/>
      <c r="CD25" s="16"/>
      <c r="CE25" s="7"/>
      <c r="CF25" s="7"/>
      <c r="CG25" s="7"/>
      <c r="CH25" s="7"/>
      <c r="CI25" s="16"/>
      <c r="CJ25" s="7"/>
      <c r="CK25" s="7"/>
      <c r="CL25" s="7"/>
      <c r="CM25" s="7"/>
      <c r="CN25" s="7"/>
      <c r="CO25" s="7"/>
      <c r="CP25" s="7"/>
      <c r="CQ25" s="16"/>
      <c r="CR25" s="7"/>
      <c r="CS25" s="7"/>
      <c r="CT25" s="7"/>
      <c r="CU25" s="7"/>
      <c r="CV25" s="7"/>
      <c r="CW25" s="16"/>
      <c r="CX25" s="7"/>
      <c r="CY25" s="16"/>
      <c r="CZ25" s="7"/>
      <c r="DA25" s="7"/>
      <c r="DB25" s="7"/>
      <c r="DC25" s="7"/>
      <c r="DD25" s="7"/>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row>
    <row r="26" spans="1:136" s="4" customFormat="1" ht="18" customHeight="1">
      <c r="A26" s="7"/>
      <c r="B26" s="7"/>
      <c r="C26" s="7"/>
      <c r="D26" s="7"/>
      <c r="E26" s="9"/>
      <c r="F26" s="7"/>
      <c r="G26" s="9"/>
      <c r="H26" s="25"/>
      <c r="I26" s="9"/>
      <c r="J26" s="14"/>
      <c r="K26" s="14"/>
      <c r="L26" s="14"/>
      <c r="M26" s="14"/>
      <c r="N26" s="14"/>
      <c r="O26" s="14"/>
      <c r="P26" s="14"/>
      <c r="Q26" s="14"/>
      <c r="R26" s="14"/>
      <c r="S26" s="14"/>
      <c r="T26" s="14"/>
      <c r="U26" s="14"/>
      <c r="V26" s="14"/>
      <c r="W26" s="14"/>
      <c r="X26" s="14"/>
      <c r="Y26" s="14"/>
      <c r="Z26" s="14"/>
      <c r="AA26" s="9"/>
      <c r="AB26" s="9"/>
      <c r="AC26" s="13"/>
      <c r="AD26" s="13"/>
      <c r="AE26" s="7"/>
      <c r="AF26" s="12"/>
      <c r="AG26" s="12"/>
      <c r="AH26" s="12"/>
      <c r="AI26" s="7"/>
      <c r="AJ26" s="7"/>
      <c r="AK26" s="7"/>
      <c r="AL26" s="7"/>
      <c r="AM26" s="7"/>
      <c r="AN26" s="7"/>
      <c r="AO26" s="16"/>
      <c r="AP26" s="7"/>
      <c r="AQ26" s="7"/>
      <c r="AR26" s="7"/>
      <c r="AS26" s="7"/>
      <c r="AT26" s="7"/>
      <c r="AU26" s="16"/>
      <c r="AV26" s="7"/>
      <c r="AW26" s="7"/>
      <c r="AX26" s="7"/>
      <c r="AY26" s="7"/>
      <c r="AZ26" s="7"/>
      <c r="BA26" s="7"/>
      <c r="BB26" s="16"/>
      <c r="BC26" s="7"/>
      <c r="BD26" s="7"/>
      <c r="BE26" s="7"/>
      <c r="BF26" s="16"/>
      <c r="BG26" s="7"/>
      <c r="BH26" s="7"/>
      <c r="BI26" s="7"/>
      <c r="BJ26" s="7"/>
      <c r="BK26" s="7"/>
      <c r="BL26" s="7"/>
      <c r="BM26" s="7"/>
      <c r="BN26" s="16"/>
      <c r="BO26" s="7"/>
      <c r="BP26" s="7"/>
      <c r="BQ26" s="7"/>
      <c r="BR26" s="7"/>
      <c r="BS26" s="16"/>
      <c r="BT26" s="7"/>
      <c r="BU26" s="7"/>
      <c r="BV26" s="7"/>
      <c r="BW26" s="7"/>
      <c r="BX26" s="16"/>
      <c r="BY26" s="16"/>
      <c r="BZ26" s="7"/>
      <c r="CA26" s="7"/>
      <c r="CB26" s="7"/>
      <c r="CC26" s="7"/>
      <c r="CD26" s="16"/>
      <c r="CE26" s="7"/>
      <c r="CF26" s="7"/>
      <c r="CG26" s="7"/>
      <c r="CH26" s="7"/>
      <c r="CI26" s="16"/>
      <c r="CJ26" s="7"/>
      <c r="CK26" s="7"/>
      <c r="CL26" s="7"/>
      <c r="CM26" s="7"/>
      <c r="CN26" s="7"/>
      <c r="CO26" s="7"/>
      <c r="CP26" s="7"/>
      <c r="CQ26" s="16"/>
      <c r="CR26" s="7"/>
      <c r="CS26" s="7"/>
      <c r="CT26" s="7"/>
      <c r="CU26" s="7"/>
      <c r="CV26" s="7"/>
      <c r="CW26" s="16"/>
      <c r="CX26" s="7"/>
      <c r="CY26" s="16"/>
      <c r="CZ26" s="7"/>
      <c r="DA26" s="7"/>
      <c r="DB26" s="7"/>
      <c r="DC26" s="7"/>
      <c r="DD26" s="7"/>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row>
    <row r="27" spans="1:136" s="4" customFormat="1" ht="18" customHeight="1">
      <c r="A27" s="7"/>
      <c r="B27" s="7"/>
      <c r="C27" s="7"/>
      <c r="D27" s="7"/>
      <c r="E27" s="9"/>
      <c r="F27" s="7"/>
      <c r="G27" s="9"/>
      <c r="H27" s="9"/>
      <c r="I27" s="9"/>
      <c r="J27" s="14"/>
      <c r="K27" s="14"/>
      <c r="L27" s="14"/>
      <c r="M27" s="14"/>
      <c r="N27" s="14"/>
      <c r="O27" s="14"/>
      <c r="P27" s="14"/>
      <c r="Q27" s="14"/>
      <c r="R27" s="14"/>
      <c r="S27" s="14"/>
      <c r="T27" s="14"/>
      <c r="U27" s="14"/>
      <c r="V27" s="14"/>
      <c r="W27" s="14"/>
      <c r="X27" s="14"/>
      <c r="Y27" s="14"/>
      <c r="Z27" s="14"/>
      <c r="AA27" s="9"/>
      <c r="AB27" s="9"/>
      <c r="AC27" s="9"/>
      <c r="AD27" s="11"/>
      <c r="AE27" s="7"/>
      <c r="AF27" s="12"/>
      <c r="AG27" s="12"/>
      <c r="AH27" s="12"/>
      <c r="AI27" s="7"/>
      <c r="AJ27" s="7"/>
      <c r="AK27" s="7"/>
      <c r="AL27" s="7"/>
      <c r="AM27" s="7"/>
      <c r="AN27" s="7"/>
      <c r="AO27" s="16"/>
      <c r="AP27" s="7"/>
      <c r="AQ27" s="7"/>
      <c r="AR27" s="7"/>
      <c r="AS27" s="7"/>
      <c r="AT27" s="7"/>
      <c r="AU27" s="16"/>
      <c r="AV27" s="7"/>
      <c r="AW27" s="7"/>
      <c r="AX27" s="7"/>
      <c r="AY27" s="7"/>
      <c r="AZ27" s="7"/>
      <c r="BA27" s="7"/>
      <c r="BB27" s="16"/>
      <c r="BC27" s="7"/>
      <c r="BD27" s="7"/>
      <c r="BE27" s="7"/>
      <c r="BF27" s="16"/>
      <c r="BG27" s="7"/>
      <c r="BH27" s="7"/>
      <c r="BI27" s="7"/>
      <c r="BJ27" s="7"/>
      <c r="BK27" s="7"/>
      <c r="BL27" s="7"/>
      <c r="BM27" s="7"/>
      <c r="BN27" s="16"/>
      <c r="BO27" s="7"/>
      <c r="BP27" s="7"/>
      <c r="BQ27" s="7"/>
      <c r="BR27" s="7"/>
      <c r="BS27" s="16"/>
      <c r="BT27" s="7"/>
      <c r="BU27" s="7"/>
      <c r="BV27" s="7"/>
      <c r="BW27" s="7"/>
      <c r="BX27" s="16"/>
      <c r="BY27" s="16"/>
      <c r="BZ27" s="7"/>
      <c r="CA27" s="7"/>
      <c r="CB27" s="7"/>
      <c r="CC27" s="7"/>
      <c r="CD27" s="16"/>
      <c r="CE27" s="7"/>
      <c r="CF27" s="7"/>
      <c r="CG27" s="7"/>
      <c r="CH27" s="7"/>
      <c r="CI27" s="16"/>
      <c r="CJ27" s="7"/>
      <c r="CK27" s="7"/>
      <c r="CL27" s="7"/>
      <c r="CM27" s="7"/>
      <c r="CN27" s="7"/>
      <c r="CO27" s="7"/>
      <c r="CP27" s="7"/>
      <c r="CQ27" s="16"/>
      <c r="CR27" s="7"/>
      <c r="CS27" s="7"/>
      <c r="CT27" s="7"/>
      <c r="CU27" s="7"/>
      <c r="CV27" s="7"/>
      <c r="CW27" s="16"/>
      <c r="CX27" s="7"/>
      <c r="CY27" s="16"/>
      <c r="CZ27" s="7"/>
      <c r="DA27" s="7"/>
      <c r="DB27" s="7"/>
      <c r="DC27" s="7"/>
      <c r="DD27" s="7"/>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row>
    <row r="28" spans="1:136" s="4" customFormat="1" ht="18" customHeight="1">
      <c r="A28" s="7"/>
      <c r="B28" s="7"/>
      <c r="C28" s="7"/>
      <c r="D28" s="7"/>
      <c r="E28" s="14"/>
      <c r="F28" s="7"/>
      <c r="G28" s="9"/>
      <c r="H28" s="9"/>
      <c r="I28" s="9"/>
      <c r="J28" s="14"/>
      <c r="K28" s="14"/>
      <c r="L28" s="14"/>
      <c r="M28" s="14"/>
      <c r="N28" s="14"/>
      <c r="O28" s="14"/>
      <c r="P28" s="14"/>
      <c r="Q28" s="14"/>
      <c r="R28" s="14"/>
      <c r="S28" s="14"/>
      <c r="T28" s="14"/>
      <c r="U28" s="14"/>
      <c r="V28" s="14"/>
      <c r="W28" s="14"/>
      <c r="X28" s="14"/>
      <c r="Y28" s="14"/>
      <c r="Z28" s="14"/>
      <c r="AA28" s="9"/>
      <c r="AB28" s="9"/>
      <c r="AC28" s="9"/>
      <c r="AD28" s="11"/>
      <c r="AE28" s="7"/>
      <c r="AF28" s="12"/>
      <c r="AG28" s="12"/>
      <c r="AH28" s="12"/>
      <c r="AI28" s="7"/>
      <c r="AJ28" s="7"/>
      <c r="AK28" s="7"/>
      <c r="AL28" s="7"/>
      <c r="AM28" s="7"/>
      <c r="AN28" s="7"/>
      <c r="AO28" s="16"/>
      <c r="AP28" s="7"/>
      <c r="AQ28" s="7"/>
      <c r="AR28" s="7"/>
      <c r="AS28" s="7"/>
      <c r="AT28" s="7"/>
      <c r="AU28" s="16"/>
      <c r="AV28" s="7"/>
      <c r="AW28" s="7"/>
      <c r="AX28" s="7"/>
      <c r="AY28" s="7"/>
      <c r="AZ28" s="7"/>
      <c r="BA28" s="7"/>
      <c r="BB28" s="16"/>
      <c r="BC28" s="7"/>
      <c r="BD28" s="7"/>
      <c r="BE28" s="7"/>
      <c r="BF28" s="16"/>
      <c r="BG28" s="7"/>
      <c r="BH28" s="7"/>
      <c r="BI28" s="7"/>
      <c r="BJ28" s="7"/>
      <c r="BK28" s="7"/>
      <c r="BL28" s="7"/>
      <c r="BM28" s="7"/>
      <c r="BN28" s="16"/>
      <c r="BO28" s="7"/>
      <c r="BP28" s="7"/>
      <c r="BQ28" s="7"/>
      <c r="BR28" s="7"/>
      <c r="BS28" s="16"/>
      <c r="BT28" s="7"/>
      <c r="BU28" s="7"/>
      <c r="BV28" s="7"/>
      <c r="BW28" s="7"/>
      <c r="BX28" s="16"/>
      <c r="BY28" s="16"/>
      <c r="BZ28" s="7"/>
      <c r="CA28" s="7"/>
      <c r="CB28" s="7"/>
      <c r="CC28" s="7"/>
      <c r="CD28" s="16"/>
      <c r="CE28" s="7"/>
      <c r="CF28" s="7"/>
      <c r="CG28" s="7"/>
      <c r="CH28" s="7"/>
      <c r="CI28" s="16"/>
      <c r="CJ28" s="7"/>
      <c r="CK28" s="7"/>
      <c r="CL28" s="7"/>
      <c r="CM28" s="7"/>
      <c r="CN28" s="7"/>
      <c r="CO28" s="7"/>
      <c r="CP28" s="7"/>
      <c r="CQ28" s="16"/>
      <c r="CR28" s="7"/>
      <c r="CS28" s="7"/>
      <c r="CT28" s="7"/>
      <c r="CU28" s="7"/>
      <c r="CV28" s="7"/>
      <c r="CW28" s="16"/>
      <c r="CX28" s="7"/>
      <c r="CY28" s="16"/>
      <c r="CZ28" s="7"/>
      <c r="DA28" s="7"/>
      <c r="DB28" s="7"/>
      <c r="DC28" s="7"/>
      <c r="DD28" s="7"/>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row>
    <row r="29" spans="1:136" s="4" customFormat="1" ht="18" customHeight="1">
      <c r="A29" s="7"/>
      <c r="B29" s="7"/>
      <c r="C29" s="7"/>
      <c r="D29" s="7"/>
      <c r="E29" s="14"/>
      <c r="F29" s="7"/>
      <c r="G29" s="9"/>
      <c r="H29" s="9"/>
      <c r="I29" s="9"/>
      <c r="J29" s="14"/>
      <c r="K29" s="14"/>
      <c r="L29" s="14"/>
      <c r="M29" s="14"/>
      <c r="N29" s="14"/>
      <c r="O29" s="14"/>
      <c r="P29" s="14"/>
      <c r="Q29" s="14"/>
      <c r="R29" s="14"/>
      <c r="S29" s="14"/>
      <c r="T29" s="14"/>
      <c r="U29" s="14"/>
      <c r="V29" s="14"/>
      <c r="W29" s="14"/>
      <c r="X29" s="14"/>
      <c r="Y29" s="14"/>
      <c r="Z29" s="14"/>
      <c r="AA29" s="9"/>
      <c r="AB29" s="9"/>
      <c r="AC29" s="9"/>
      <c r="AD29" s="11"/>
      <c r="AE29" s="7"/>
      <c r="AF29" s="12"/>
      <c r="AG29" s="12"/>
      <c r="AH29" s="12"/>
      <c r="AI29" s="7"/>
      <c r="AJ29" s="7"/>
      <c r="AK29" s="7"/>
      <c r="AL29" s="7"/>
      <c r="AM29" s="7"/>
      <c r="AN29" s="7"/>
      <c r="AO29" s="16"/>
      <c r="AP29" s="7"/>
      <c r="AQ29" s="7"/>
      <c r="AR29" s="7"/>
      <c r="AS29" s="7"/>
      <c r="AT29" s="7"/>
      <c r="AU29" s="16"/>
      <c r="AV29" s="7"/>
      <c r="AW29" s="7"/>
      <c r="AX29" s="7"/>
      <c r="AY29" s="7"/>
      <c r="AZ29" s="7"/>
      <c r="BA29" s="7"/>
      <c r="BB29" s="16"/>
      <c r="BC29" s="7"/>
      <c r="BD29" s="7"/>
      <c r="BE29" s="7"/>
      <c r="BF29" s="16"/>
      <c r="BG29" s="7"/>
      <c r="BH29" s="7"/>
      <c r="BI29" s="7"/>
      <c r="BJ29" s="7"/>
      <c r="BK29" s="7"/>
      <c r="BL29" s="7"/>
      <c r="BM29" s="7"/>
      <c r="BN29" s="16"/>
      <c r="BO29" s="7"/>
      <c r="BP29" s="7"/>
      <c r="BQ29" s="7"/>
      <c r="BR29" s="7"/>
      <c r="BS29" s="16"/>
      <c r="BT29" s="7"/>
      <c r="BU29" s="7"/>
      <c r="BV29" s="7"/>
      <c r="BW29" s="7"/>
      <c r="BX29" s="16"/>
      <c r="BY29" s="16"/>
      <c r="BZ29" s="7"/>
      <c r="CA29" s="7"/>
      <c r="CB29" s="7"/>
      <c r="CC29" s="7"/>
      <c r="CD29" s="16"/>
      <c r="CE29" s="7"/>
      <c r="CF29" s="7"/>
      <c r="CG29" s="7"/>
      <c r="CH29" s="7"/>
      <c r="CI29" s="16"/>
      <c r="CJ29" s="7"/>
      <c r="CK29" s="7"/>
      <c r="CL29" s="7"/>
      <c r="CM29" s="7"/>
      <c r="CN29" s="7"/>
      <c r="CO29" s="7"/>
      <c r="CP29" s="7"/>
      <c r="CQ29" s="16"/>
      <c r="CR29" s="7"/>
      <c r="CS29" s="7"/>
      <c r="CT29" s="7"/>
      <c r="CU29" s="7"/>
      <c r="CV29" s="7"/>
      <c r="CW29" s="16"/>
      <c r="CX29" s="7"/>
      <c r="CY29" s="16"/>
      <c r="CZ29" s="7"/>
      <c r="DA29" s="7"/>
      <c r="DB29" s="7"/>
      <c r="DC29" s="7"/>
      <c r="DD29" s="7"/>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row>
    <row r="30" spans="1:136" s="4" customFormat="1" ht="18" customHeight="1">
      <c r="A30" s="7"/>
      <c r="B30" s="7"/>
      <c r="C30" s="7"/>
      <c r="D30" s="7"/>
      <c r="E30" s="14"/>
      <c r="F30" s="7"/>
      <c r="G30" s="9"/>
      <c r="H30" s="9"/>
      <c r="I30" s="9"/>
      <c r="J30" s="14"/>
      <c r="K30" s="14"/>
      <c r="L30" s="14"/>
      <c r="M30" s="14"/>
      <c r="N30" s="14"/>
      <c r="O30" s="14"/>
      <c r="P30" s="14"/>
      <c r="Q30" s="14"/>
      <c r="R30" s="14"/>
      <c r="S30" s="14"/>
      <c r="T30" s="14"/>
      <c r="U30" s="14"/>
      <c r="V30" s="14"/>
      <c r="W30" s="14"/>
      <c r="X30" s="14"/>
      <c r="Y30" s="14"/>
      <c r="Z30" s="14"/>
      <c r="AA30" s="9"/>
      <c r="AB30" s="9"/>
      <c r="AC30" s="9"/>
      <c r="AD30" s="11"/>
      <c r="AE30" s="7"/>
      <c r="AF30" s="12"/>
      <c r="AG30" s="12"/>
      <c r="AH30" s="12"/>
      <c r="AI30" s="7"/>
      <c r="AJ30" s="7"/>
      <c r="AK30" s="7"/>
      <c r="AL30" s="7"/>
      <c r="AM30" s="7"/>
      <c r="AN30" s="7"/>
      <c r="AO30" s="16"/>
      <c r="AP30" s="7"/>
      <c r="AQ30" s="7"/>
      <c r="AR30" s="7"/>
      <c r="AS30" s="7"/>
      <c r="AT30" s="7"/>
      <c r="AU30" s="16"/>
      <c r="AV30" s="7"/>
      <c r="AW30" s="7"/>
      <c r="AX30" s="7"/>
      <c r="AY30" s="7"/>
      <c r="AZ30" s="7"/>
      <c r="BA30" s="7"/>
      <c r="BB30" s="16"/>
      <c r="BC30" s="7"/>
      <c r="BD30" s="7"/>
      <c r="BE30" s="7"/>
      <c r="BF30" s="16"/>
      <c r="BG30" s="7"/>
      <c r="BH30" s="7"/>
      <c r="BI30" s="7"/>
      <c r="BJ30" s="7"/>
      <c r="BK30" s="7"/>
      <c r="BL30" s="7"/>
      <c r="BM30" s="7"/>
      <c r="BN30" s="16"/>
      <c r="BO30" s="7"/>
      <c r="BP30" s="7"/>
      <c r="BQ30" s="7"/>
      <c r="BR30" s="7"/>
      <c r="BS30" s="16"/>
      <c r="BT30" s="7"/>
      <c r="BU30" s="7"/>
      <c r="BV30" s="7"/>
      <c r="BW30" s="7"/>
      <c r="BX30" s="16"/>
      <c r="BY30" s="16"/>
      <c r="BZ30" s="7"/>
      <c r="CA30" s="7"/>
      <c r="CB30" s="7"/>
      <c r="CC30" s="7"/>
      <c r="CD30" s="16"/>
      <c r="CE30" s="7"/>
      <c r="CF30" s="7"/>
      <c r="CG30" s="7"/>
      <c r="CH30" s="7"/>
      <c r="CI30" s="16"/>
      <c r="CJ30" s="7"/>
      <c r="CK30" s="7"/>
      <c r="CL30" s="7"/>
      <c r="CM30" s="7"/>
      <c r="CN30" s="7"/>
      <c r="CO30" s="7"/>
      <c r="CP30" s="7"/>
      <c r="CQ30" s="16"/>
      <c r="CR30" s="7"/>
      <c r="CS30" s="7"/>
      <c r="CT30" s="7"/>
      <c r="CU30" s="7"/>
      <c r="CV30" s="7"/>
      <c r="CW30" s="16"/>
      <c r="CX30" s="7"/>
      <c r="CY30" s="16"/>
      <c r="CZ30" s="7"/>
      <c r="DA30" s="7"/>
      <c r="DB30" s="7"/>
      <c r="DC30" s="7"/>
      <c r="DD30" s="7"/>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row>
    <row r="31" spans="1:136" s="4" customFormat="1" ht="18" customHeight="1">
      <c r="A31" s="7"/>
      <c r="B31" s="7"/>
      <c r="C31" s="7"/>
      <c r="D31" s="7"/>
      <c r="E31" s="14"/>
      <c r="F31" s="7"/>
      <c r="G31" s="9"/>
      <c r="H31" s="9"/>
      <c r="I31" s="9"/>
      <c r="J31" s="14"/>
      <c r="K31" s="14"/>
      <c r="L31" s="14"/>
      <c r="M31" s="14"/>
      <c r="N31" s="14"/>
      <c r="O31" s="14"/>
      <c r="P31" s="14"/>
      <c r="Q31" s="14"/>
      <c r="R31" s="14"/>
      <c r="S31" s="14"/>
      <c r="T31" s="14"/>
      <c r="U31" s="14"/>
      <c r="V31" s="14"/>
      <c r="W31" s="14"/>
      <c r="X31" s="14"/>
      <c r="Y31" s="14"/>
      <c r="Z31" s="14"/>
      <c r="AA31" s="9"/>
      <c r="AB31" s="9"/>
      <c r="AC31" s="9"/>
      <c r="AD31" s="11"/>
      <c r="AE31" s="7"/>
      <c r="AF31" s="12"/>
      <c r="AG31" s="12"/>
      <c r="AH31" s="12"/>
      <c r="AI31" s="7"/>
      <c r="AJ31" s="7"/>
      <c r="AK31" s="7"/>
      <c r="AL31" s="7"/>
      <c r="AM31" s="7"/>
      <c r="AN31" s="7"/>
      <c r="AO31" s="16"/>
      <c r="AP31" s="7"/>
      <c r="AQ31" s="7"/>
      <c r="AR31" s="7"/>
      <c r="AS31" s="7"/>
      <c r="AT31" s="7"/>
      <c r="AU31" s="16"/>
      <c r="AV31" s="7"/>
      <c r="AW31" s="7"/>
      <c r="AX31" s="7"/>
      <c r="AY31" s="7"/>
      <c r="AZ31" s="7"/>
      <c r="BA31" s="7"/>
      <c r="BB31" s="16"/>
      <c r="BC31" s="7"/>
      <c r="BD31" s="7"/>
      <c r="BE31" s="7"/>
      <c r="BF31" s="16"/>
      <c r="BG31" s="7"/>
      <c r="BH31" s="7"/>
      <c r="BI31" s="7"/>
      <c r="BJ31" s="7"/>
      <c r="BK31" s="7"/>
      <c r="BL31" s="7"/>
      <c r="BM31" s="7"/>
      <c r="BN31" s="16"/>
      <c r="BO31" s="7"/>
      <c r="BP31" s="7"/>
      <c r="BQ31" s="7"/>
      <c r="BR31" s="7"/>
      <c r="BS31" s="16"/>
      <c r="BT31" s="7"/>
      <c r="BU31" s="7"/>
      <c r="BV31" s="7"/>
      <c r="BW31" s="7"/>
      <c r="BX31" s="16"/>
      <c r="BY31" s="16"/>
      <c r="BZ31" s="7"/>
      <c r="CA31" s="7"/>
      <c r="CB31" s="7"/>
      <c r="CC31" s="7"/>
      <c r="CD31" s="16"/>
      <c r="CE31" s="7"/>
      <c r="CF31" s="7"/>
      <c r="CG31" s="7"/>
      <c r="CH31" s="7"/>
      <c r="CI31" s="16"/>
      <c r="CJ31" s="7"/>
      <c r="CK31" s="7"/>
      <c r="CL31" s="7"/>
      <c r="CM31" s="7"/>
      <c r="CN31" s="7"/>
      <c r="CO31" s="7"/>
      <c r="CP31" s="7"/>
      <c r="CQ31" s="16"/>
      <c r="CR31" s="7"/>
      <c r="CS31" s="7"/>
      <c r="CT31" s="7"/>
      <c r="CU31" s="7"/>
      <c r="CV31" s="7"/>
      <c r="CW31" s="16"/>
      <c r="CX31" s="7"/>
      <c r="CY31" s="16"/>
      <c r="CZ31" s="7"/>
      <c r="DA31" s="7"/>
      <c r="DB31" s="7"/>
      <c r="DC31" s="7"/>
      <c r="DD31" s="7"/>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row>
    <row r="32" spans="1:136" s="4" customFormat="1" ht="18" customHeight="1">
      <c r="A32" s="7"/>
      <c r="B32" s="7"/>
      <c r="C32" s="7"/>
      <c r="D32" s="7"/>
      <c r="E32" s="14"/>
      <c r="F32" s="7"/>
      <c r="G32" s="9"/>
      <c r="H32" s="9"/>
      <c r="I32" s="9"/>
      <c r="J32" s="14"/>
      <c r="K32" s="14"/>
      <c r="L32" s="14"/>
      <c r="M32" s="14"/>
      <c r="N32" s="14"/>
      <c r="O32" s="14"/>
      <c r="P32" s="14"/>
      <c r="Q32" s="14"/>
      <c r="R32" s="14"/>
      <c r="S32" s="14"/>
      <c r="T32" s="14"/>
      <c r="U32" s="14"/>
      <c r="V32" s="14"/>
      <c r="W32" s="14"/>
      <c r="X32" s="14"/>
      <c r="Y32" s="14"/>
      <c r="Z32" s="14"/>
      <c r="AA32" s="9"/>
      <c r="AB32" s="9"/>
      <c r="AC32" s="9"/>
      <c r="AD32" s="11"/>
      <c r="AE32" s="7"/>
      <c r="AF32" s="12"/>
      <c r="AG32" s="12"/>
      <c r="AH32" s="12"/>
      <c r="AI32" s="7"/>
      <c r="AJ32" s="7"/>
      <c r="AK32" s="7"/>
      <c r="AL32" s="7"/>
      <c r="AM32" s="7"/>
      <c r="AN32" s="7"/>
      <c r="AO32" s="16"/>
      <c r="AP32" s="7"/>
      <c r="AQ32" s="7"/>
      <c r="AR32" s="7"/>
      <c r="AS32" s="7"/>
      <c r="AT32" s="7"/>
      <c r="AU32" s="16"/>
      <c r="AV32" s="7"/>
      <c r="AW32" s="7"/>
      <c r="AX32" s="7"/>
      <c r="AY32" s="7"/>
      <c r="AZ32" s="7"/>
      <c r="BA32" s="7"/>
      <c r="BB32" s="16"/>
      <c r="BC32" s="7"/>
      <c r="BD32" s="7"/>
      <c r="BE32" s="7"/>
      <c r="BF32" s="16"/>
      <c r="BG32" s="7"/>
      <c r="BH32" s="7"/>
      <c r="BI32" s="7"/>
      <c r="BJ32" s="7"/>
      <c r="BK32" s="7"/>
      <c r="BL32" s="7"/>
      <c r="BM32" s="7"/>
      <c r="BN32" s="16"/>
      <c r="BO32" s="7"/>
      <c r="BP32" s="7"/>
      <c r="BQ32" s="7"/>
      <c r="BR32" s="7"/>
      <c r="BS32" s="16"/>
      <c r="BT32" s="7"/>
      <c r="BU32" s="7"/>
      <c r="BV32" s="7"/>
      <c r="BW32" s="7"/>
      <c r="BX32" s="16"/>
      <c r="BY32" s="16"/>
      <c r="BZ32" s="7"/>
      <c r="CA32" s="7"/>
      <c r="CB32" s="7"/>
      <c r="CC32" s="7"/>
      <c r="CD32" s="16"/>
      <c r="CE32" s="7"/>
      <c r="CF32" s="7"/>
      <c r="CG32" s="7"/>
      <c r="CH32" s="7"/>
      <c r="CI32" s="16"/>
      <c r="CJ32" s="7"/>
      <c r="CK32" s="7"/>
      <c r="CL32" s="7"/>
      <c r="CM32" s="7"/>
      <c r="CN32" s="7"/>
      <c r="CO32" s="7"/>
      <c r="CP32" s="7"/>
      <c r="CQ32" s="16"/>
      <c r="CR32" s="7"/>
      <c r="CS32" s="7"/>
      <c r="CT32" s="7"/>
      <c r="CU32" s="7"/>
      <c r="CV32" s="7"/>
      <c r="CW32" s="16"/>
      <c r="CX32" s="7"/>
      <c r="CY32" s="16"/>
      <c r="CZ32" s="7"/>
      <c r="DA32" s="7"/>
      <c r="DB32" s="7"/>
      <c r="DC32" s="7"/>
      <c r="DD32" s="7"/>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row>
    <row r="33" spans="1:136" s="4" customFormat="1" ht="18" customHeight="1">
      <c r="A33" s="7"/>
      <c r="B33" s="7"/>
      <c r="C33" s="7"/>
      <c r="D33" s="7"/>
      <c r="E33" s="14"/>
      <c r="F33" s="7"/>
      <c r="G33" s="9"/>
      <c r="H33" s="9"/>
      <c r="I33" s="9"/>
      <c r="J33" s="14"/>
      <c r="K33" s="14"/>
      <c r="L33" s="14"/>
      <c r="M33" s="14"/>
      <c r="N33" s="14"/>
      <c r="O33" s="14"/>
      <c r="P33" s="14"/>
      <c r="Q33" s="14"/>
      <c r="R33" s="14"/>
      <c r="S33" s="14"/>
      <c r="T33" s="14"/>
      <c r="U33" s="14"/>
      <c r="V33" s="14"/>
      <c r="W33" s="14"/>
      <c r="X33" s="14"/>
      <c r="Y33" s="14"/>
      <c r="Z33" s="14"/>
      <c r="AA33" s="9"/>
      <c r="AB33" s="9"/>
      <c r="AC33" s="9"/>
      <c r="AD33" s="11"/>
      <c r="AE33" s="7"/>
      <c r="AF33" s="12"/>
      <c r="AG33" s="12"/>
      <c r="AH33" s="12"/>
      <c r="AI33" s="7"/>
      <c r="AJ33" s="7"/>
      <c r="AK33" s="7"/>
      <c r="AL33" s="7"/>
      <c r="AM33" s="7"/>
      <c r="AN33" s="7"/>
      <c r="AO33" s="16"/>
      <c r="AP33" s="7"/>
      <c r="AQ33" s="7"/>
      <c r="AR33" s="7"/>
      <c r="AS33" s="7"/>
      <c r="AT33" s="7"/>
      <c r="AU33" s="16"/>
      <c r="AV33" s="7"/>
      <c r="AW33" s="7"/>
      <c r="AX33" s="7"/>
      <c r="AY33" s="7"/>
      <c r="AZ33" s="7"/>
      <c r="BA33" s="7"/>
      <c r="BB33" s="16"/>
      <c r="BC33" s="7"/>
      <c r="BD33" s="7"/>
      <c r="BE33" s="7"/>
      <c r="BF33" s="16"/>
      <c r="BG33" s="7"/>
      <c r="BH33" s="7"/>
      <c r="BI33" s="7"/>
      <c r="BJ33" s="7"/>
      <c r="BK33" s="7"/>
      <c r="BL33" s="7"/>
      <c r="BM33" s="7"/>
      <c r="BN33" s="16"/>
      <c r="BO33" s="7"/>
      <c r="BP33" s="7"/>
      <c r="BQ33" s="7"/>
      <c r="BR33" s="7"/>
      <c r="BS33" s="16"/>
      <c r="BT33" s="7"/>
      <c r="BU33" s="7"/>
      <c r="BV33" s="7"/>
      <c r="BW33" s="7"/>
      <c r="BX33" s="16"/>
      <c r="BY33" s="16"/>
      <c r="BZ33" s="7"/>
      <c r="CA33" s="7"/>
      <c r="CB33" s="7"/>
      <c r="CC33" s="7"/>
      <c r="CD33" s="16"/>
      <c r="CE33" s="7"/>
      <c r="CF33" s="7"/>
      <c r="CG33" s="7"/>
      <c r="CH33" s="7"/>
      <c r="CI33" s="16"/>
      <c r="CJ33" s="7"/>
      <c r="CK33" s="7"/>
      <c r="CL33" s="7"/>
      <c r="CM33" s="7"/>
      <c r="CN33" s="7"/>
      <c r="CO33" s="7"/>
      <c r="CP33" s="7"/>
      <c r="CQ33" s="16"/>
      <c r="CR33" s="7"/>
      <c r="CS33" s="7"/>
      <c r="CT33" s="7"/>
      <c r="CU33" s="7"/>
      <c r="CV33" s="7"/>
      <c r="CW33" s="16"/>
      <c r="CX33" s="7"/>
      <c r="CY33" s="16"/>
      <c r="CZ33" s="7"/>
      <c r="DA33" s="7"/>
      <c r="DB33" s="7"/>
      <c r="DC33" s="7"/>
      <c r="DD33" s="7"/>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row>
    <row r="34" spans="1:136" s="4" customFormat="1" ht="18" customHeight="1">
      <c r="A34" s="7"/>
      <c r="B34" s="7"/>
      <c r="C34" s="7"/>
      <c r="D34" s="7"/>
      <c r="E34" s="14"/>
      <c r="F34" s="7"/>
      <c r="G34" s="9"/>
      <c r="H34" s="9"/>
      <c r="I34" s="9"/>
      <c r="J34" s="14"/>
      <c r="K34" s="14"/>
      <c r="L34" s="14"/>
      <c r="M34" s="14"/>
      <c r="N34" s="14"/>
      <c r="O34" s="14"/>
      <c r="P34" s="14"/>
      <c r="Q34" s="14"/>
      <c r="R34" s="14"/>
      <c r="S34" s="14"/>
      <c r="T34" s="14"/>
      <c r="U34" s="14"/>
      <c r="V34" s="14"/>
      <c r="W34" s="14"/>
      <c r="X34" s="14"/>
      <c r="Y34" s="14"/>
      <c r="Z34" s="14"/>
      <c r="AA34" s="9"/>
      <c r="AB34" s="9"/>
      <c r="AC34" s="9"/>
      <c r="AD34" s="11"/>
      <c r="AE34" s="7"/>
      <c r="AF34" s="12"/>
      <c r="AG34" s="12"/>
      <c r="AH34" s="12"/>
      <c r="AI34" s="7"/>
      <c r="AJ34" s="7"/>
      <c r="AK34" s="7"/>
      <c r="AL34" s="7"/>
      <c r="AM34" s="7"/>
      <c r="AN34" s="7"/>
      <c r="AO34" s="16"/>
      <c r="AP34" s="7"/>
      <c r="AQ34" s="7"/>
      <c r="AR34" s="7"/>
      <c r="AS34" s="7"/>
      <c r="AT34" s="7"/>
      <c r="AU34" s="16"/>
      <c r="AV34" s="7"/>
      <c r="AW34" s="7"/>
      <c r="AX34" s="7"/>
      <c r="AY34" s="7"/>
      <c r="AZ34" s="7"/>
      <c r="BA34" s="7"/>
      <c r="BB34" s="16"/>
      <c r="BC34" s="7"/>
      <c r="BD34" s="7"/>
      <c r="BE34" s="7"/>
      <c r="BF34" s="16"/>
      <c r="BG34" s="7"/>
      <c r="BH34" s="7"/>
      <c r="BI34" s="7"/>
      <c r="BJ34" s="7"/>
      <c r="BK34" s="7"/>
      <c r="BL34" s="7"/>
      <c r="BM34" s="7"/>
      <c r="BN34" s="16"/>
      <c r="BO34" s="7"/>
      <c r="BP34" s="7"/>
      <c r="BQ34" s="7"/>
      <c r="BR34" s="7"/>
      <c r="BS34" s="16"/>
      <c r="BT34" s="7"/>
      <c r="BU34" s="7"/>
      <c r="BV34" s="7"/>
      <c r="BW34" s="7"/>
      <c r="BX34" s="16"/>
      <c r="BY34" s="16"/>
      <c r="BZ34" s="7"/>
      <c r="CA34" s="7"/>
      <c r="CB34" s="7"/>
      <c r="CC34" s="7"/>
      <c r="CD34" s="16"/>
      <c r="CE34" s="7"/>
      <c r="CF34" s="7"/>
      <c r="CG34" s="7"/>
      <c r="CH34" s="7"/>
      <c r="CI34" s="16"/>
      <c r="CJ34" s="7"/>
      <c r="CK34" s="7"/>
      <c r="CL34" s="7"/>
      <c r="CM34" s="7"/>
      <c r="CN34" s="7"/>
      <c r="CO34" s="7"/>
      <c r="CP34" s="7"/>
      <c r="CQ34" s="16"/>
      <c r="CR34" s="7"/>
      <c r="CS34" s="7"/>
      <c r="CT34" s="7"/>
      <c r="CU34" s="7"/>
      <c r="CV34" s="7"/>
      <c r="CW34" s="16"/>
      <c r="CX34" s="7"/>
      <c r="CY34" s="16"/>
      <c r="CZ34" s="7"/>
      <c r="DA34" s="7"/>
      <c r="DB34" s="7"/>
      <c r="DC34" s="7"/>
      <c r="DD34" s="7"/>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row>
    <row r="35" spans="1:136" s="4" customFormat="1" ht="18" customHeight="1">
      <c r="A35" s="7"/>
      <c r="B35" s="7"/>
      <c r="C35" s="7"/>
      <c r="D35" s="7"/>
      <c r="E35" s="14"/>
      <c r="F35" s="7"/>
      <c r="G35" s="9"/>
      <c r="H35" s="9"/>
      <c r="I35" s="9"/>
      <c r="J35" s="14"/>
      <c r="K35" s="14"/>
      <c r="L35" s="14"/>
      <c r="M35" s="14"/>
      <c r="N35" s="14"/>
      <c r="O35" s="14"/>
      <c r="P35" s="14"/>
      <c r="Q35" s="14"/>
      <c r="R35" s="14"/>
      <c r="S35" s="14"/>
      <c r="T35" s="14"/>
      <c r="U35" s="14"/>
      <c r="V35" s="14"/>
      <c r="W35" s="14"/>
      <c r="X35" s="14"/>
      <c r="Y35" s="14"/>
      <c r="Z35" s="14"/>
      <c r="AA35" s="9"/>
      <c r="AB35" s="9"/>
      <c r="AC35" s="9"/>
      <c r="AD35" s="11"/>
      <c r="AE35" s="7"/>
      <c r="AF35" s="12"/>
      <c r="AG35" s="12"/>
      <c r="AH35" s="12"/>
      <c r="AI35" s="7"/>
      <c r="AJ35" s="7"/>
      <c r="AK35" s="7"/>
      <c r="AL35" s="7"/>
      <c r="AM35" s="7"/>
      <c r="AN35" s="7"/>
      <c r="AO35" s="16"/>
      <c r="AP35" s="7"/>
      <c r="AQ35" s="7"/>
      <c r="AR35" s="7"/>
      <c r="AS35" s="7"/>
      <c r="AT35" s="7"/>
      <c r="AU35" s="16"/>
      <c r="AV35" s="7"/>
      <c r="AW35" s="7"/>
      <c r="AX35" s="7"/>
      <c r="AY35" s="7"/>
      <c r="AZ35" s="7"/>
      <c r="BA35" s="7"/>
      <c r="BB35" s="16"/>
      <c r="BC35" s="7"/>
      <c r="BD35" s="7"/>
      <c r="BE35" s="7"/>
      <c r="BF35" s="16"/>
      <c r="BG35" s="7"/>
      <c r="BH35" s="7"/>
      <c r="BI35" s="7"/>
      <c r="BJ35" s="7"/>
      <c r="BK35" s="7"/>
      <c r="BL35" s="7"/>
      <c r="BM35" s="7"/>
      <c r="BN35" s="16"/>
      <c r="BO35" s="7"/>
      <c r="BP35" s="7"/>
      <c r="BQ35" s="7"/>
      <c r="BR35" s="7"/>
      <c r="BS35" s="16"/>
      <c r="BT35" s="7"/>
      <c r="BU35" s="7"/>
      <c r="BV35" s="7"/>
      <c r="BW35" s="7"/>
      <c r="BX35" s="16"/>
      <c r="BY35" s="16"/>
      <c r="BZ35" s="7"/>
      <c r="CA35" s="7"/>
      <c r="CB35" s="7"/>
      <c r="CC35" s="7"/>
      <c r="CD35" s="16"/>
      <c r="CE35" s="7"/>
      <c r="CF35" s="7"/>
      <c r="CG35" s="7"/>
      <c r="CH35" s="7"/>
      <c r="CI35" s="16"/>
      <c r="CJ35" s="7"/>
      <c r="CK35" s="7"/>
      <c r="CL35" s="7"/>
      <c r="CM35" s="7"/>
      <c r="CN35" s="7"/>
      <c r="CO35" s="7"/>
      <c r="CP35" s="7"/>
      <c r="CQ35" s="16"/>
      <c r="CR35" s="7"/>
      <c r="CS35" s="7"/>
      <c r="CT35" s="7"/>
      <c r="CU35" s="7"/>
      <c r="CV35" s="7"/>
      <c r="CW35" s="16"/>
      <c r="CX35" s="7"/>
      <c r="CY35" s="16"/>
      <c r="CZ35" s="7"/>
      <c r="DA35" s="7"/>
      <c r="DB35" s="7"/>
      <c r="DC35" s="7"/>
      <c r="DD35" s="7"/>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row>
    <row r="36" spans="1:136" s="4" customFormat="1" ht="18" customHeight="1">
      <c r="A36" s="7"/>
      <c r="B36" s="7"/>
      <c r="C36" s="7"/>
      <c r="D36" s="7"/>
      <c r="E36" s="14"/>
      <c r="F36" s="7"/>
      <c r="G36" s="9"/>
      <c r="H36" s="9"/>
      <c r="I36" s="9"/>
      <c r="J36" s="14"/>
      <c r="K36" s="14"/>
      <c r="L36" s="14"/>
      <c r="M36" s="14"/>
      <c r="N36" s="14"/>
      <c r="O36" s="14"/>
      <c r="P36" s="14"/>
      <c r="Q36" s="14"/>
      <c r="R36" s="14"/>
      <c r="S36" s="14"/>
      <c r="T36" s="14"/>
      <c r="U36" s="14"/>
      <c r="V36" s="14"/>
      <c r="W36" s="14"/>
      <c r="X36" s="14"/>
      <c r="Y36" s="14"/>
      <c r="Z36" s="14"/>
      <c r="AA36" s="9"/>
      <c r="AB36" s="9"/>
      <c r="AC36" s="9"/>
      <c r="AD36" s="11"/>
      <c r="AE36" s="7"/>
      <c r="AF36" s="12"/>
      <c r="AG36" s="12"/>
      <c r="AH36" s="12"/>
      <c r="AI36" s="7"/>
      <c r="AJ36" s="7"/>
      <c r="AK36" s="7"/>
      <c r="AL36" s="7"/>
      <c r="AM36" s="7"/>
      <c r="AN36" s="7"/>
      <c r="AO36" s="16"/>
      <c r="AP36" s="7"/>
      <c r="AQ36" s="7"/>
      <c r="AR36" s="7"/>
      <c r="AS36" s="7"/>
      <c r="AT36" s="7"/>
      <c r="AU36" s="16"/>
      <c r="AV36" s="7"/>
      <c r="AW36" s="7"/>
      <c r="AX36" s="7"/>
      <c r="AY36" s="7"/>
      <c r="AZ36" s="7"/>
      <c r="BA36" s="7"/>
      <c r="BB36" s="16"/>
      <c r="BC36" s="7"/>
      <c r="BD36" s="7"/>
      <c r="BE36" s="7"/>
      <c r="BF36" s="16"/>
      <c r="BG36" s="7"/>
      <c r="BH36" s="7"/>
      <c r="BI36" s="7"/>
      <c r="BJ36" s="7"/>
      <c r="BK36" s="7"/>
      <c r="BL36" s="7"/>
      <c r="BM36" s="7"/>
      <c r="BN36" s="16"/>
      <c r="BO36" s="7"/>
      <c r="BP36" s="7"/>
      <c r="BQ36" s="7"/>
      <c r="BR36" s="7"/>
      <c r="BS36" s="16"/>
      <c r="BT36" s="7"/>
      <c r="BU36" s="7"/>
      <c r="BV36" s="7"/>
      <c r="BW36" s="7"/>
      <c r="BX36" s="16"/>
      <c r="BY36" s="16"/>
      <c r="BZ36" s="7"/>
      <c r="CA36" s="7"/>
      <c r="CB36" s="7"/>
      <c r="CC36" s="7"/>
      <c r="CD36" s="16"/>
      <c r="CE36" s="7"/>
      <c r="CF36" s="7"/>
      <c r="CG36" s="7"/>
      <c r="CH36" s="7"/>
      <c r="CI36" s="16"/>
      <c r="CJ36" s="7"/>
      <c r="CK36" s="7"/>
      <c r="CL36" s="7"/>
      <c r="CM36" s="7"/>
      <c r="CN36" s="7"/>
      <c r="CO36" s="7"/>
      <c r="CP36" s="7"/>
      <c r="CQ36" s="16"/>
      <c r="CR36" s="7"/>
      <c r="CS36" s="7"/>
      <c r="CT36" s="7"/>
      <c r="CU36" s="7"/>
      <c r="CV36" s="7"/>
      <c r="CW36" s="16"/>
      <c r="CX36" s="7"/>
      <c r="CY36" s="16"/>
      <c r="CZ36" s="7"/>
      <c r="DA36" s="7"/>
      <c r="DB36" s="7"/>
      <c r="DC36" s="7"/>
      <c r="DD36" s="7"/>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row>
    <row r="37" spans="1:136" s="4" customFormat="1" ht="18" customHeight="1">
      <c r="A37" s="7"/>
      <c r="B37" s="7"/>
      <c r="C37" s="7"/>
      <c r="D37" s="7"/>
      <c r="E37" s="14"/>
      <c r="F37" s="7"/>
      <c r="G37" s="9"/>
      <c r="H37" s="9"/>
      <c r="I37" s="9"/>
      <c r="J37" s="14"/>
      <c r="K37" s="14"/>
      <c r="L37" s="14"/>
      <c r="M37" s="14"/>
      <c r="N37" s="14"/>
      <c r="O37" s="14"/>
      <c r="P37" s="14"/>
      <c r="Q37" s="14"/>
      <c r="R37" s="14"/>
      <c r="S37" s="14"/>
      <c r="T37" s="14"/>
      <c r="U37" s="14"/>
      <c r="V37" s="14"/>
      <c r="W37" s="14"/>
      <c r="X37" s="14"/>
      <c r="Y37" s="14"/>
      <c r="Z37" s="14"/>
      <c r="AA37" s="9"/>
      <c r="AB37" s="9"/>
      <c r="AC37" s="9"/>
      <c r="AD37" s="11"/>
      <c r="AE37" s="7"/>
      <c r="AF37" s="12"/>
      <c r="AG37" s="12"/>
      <c r="AH37" s="12"/>
      <c r="AI37" s="7"/>
      <c r="AJ37" s="7"/>
      <c r="AK37" s="7"/>
      <c r="AL37" s="7"/>
      <c r="AM37" s="7"/>
      <c r="AN37" s="7"/>
      <c r="AO37" s="16"/>
      <c r="AP37" s="7"/>
      <c r="AQ37" s="7"/>
      <c r="AR37" s="7"/>
      <c r="AS37" s="7"/>
      <c r="AT37" s="7"/>
      <c r="AU37" s="16"/>
      <c r="AV37" s="7"/>
      <c r="AW37" s="7"/>
      <c r="AX37" s="7"/>
      <c r="AY37" s="7"/>
      <c r="AZ37" s="7"/>
      <c r="BA37" s="7"/>
      <c r="BB37" s="16"/>
      <c r="BC37" s="7"/>
      <c r="BD37" s="7"/>
      <c r="BE37" s="7"/>
      <c r="BF37" s="16"/>
      <c r="BG37" s="7"/>
      <c r="BH37" s="7"/>
      <c r="BI37" s="7"/>
      <c r="BJ37" s="7"/>
      <c r="BK37" s="7"/>
      <c r="BL37" s="7"/>
      <c r="BM37" s="7"/>
      <c r="BN37" s="16"/>
      <c r="BO37" s="7"/>
      <c r="BP37" s="7"/>
      <c r="BQ37" s="7"/>
      <c r="BR37" s="7"/>
      <c r="BS37" s="16"/>
      <c r="BT37" s="7"/>
      <c r="BU37" s="7"/>
      <c r="BV37" s="7"/>
      <c r="BW37" s="7"/>
      <c r="BX37" s="16"/>
      <c r="BY37" s="16"/>
      <c r="BZ37" s="7"/>
      <c r="CA37" s="7"/>
      <c r="CB37" s="7"/>
      <c r="CC37" s="7"/>
      <c r="CD37" s="16"/>
      <c r="CE37" s="7"/>
      <c r="CF37" s="7"/>
      <c r="CG37" s="7"/>
      <c r="CH37" s="7"/>
      <c r="CI37" s="16"/>
      <c r="CJ37" s="7"/>
      <c r="CK37" s="7"/>
      <c r="CL37" s="7"/>
      <c r="CM37" s="7"/>
      <c r="CN37" s="7"/>
      <c r="CO37" s="7"/>
      <c r="CP37" s="7"/>
      <c r="CQ37" s="16"/>
      <c r="CR37" s="7"/>
      <c r="CS37" s="7"/>
      <c r="CT37" s="7"/>
      <c r="CU37" s="7"/>
      <c r="CV37" s="7"/>
      <c r="CW37" s="16"/>
      <c r="CX37" s="7"/>
      <c r="CY37" s="16"/>
      <c r="CZ37" s="7"/>
      <c r="DA37" s="7"/>
      <c r="DB37" s="7"/>
      <c r="DC37" s="7"/>
      <c r="DD37" s="7"/>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row>
    <row r="38" spans="1:136" s="4" customFormat="1" ht="18" customHeight="1">
      <c r="A38" s="7"/>
      <c r="B38" s="7"/>
      <c r="C38" s="7"/>
      <c r="D38" s="7"/>
      <c r="E38" s="14"/>
      <c r="F38" s="7"/>
      <c r="G38" s="9"/>
      <c r="H38" s="9"/>
      <c r="I38" s="9"/>
      <c r="J38" s="14"/>
      <c r="K38" s="14"/>
      <c r="L38" s="14"/>
      <c r="M38" s="14"/>
      <c r="N38" s="14"/>
      <c r="O38" s="14"/>
      <c r="P38" s="14"/>
      <c r="Q38" s="14"/>
      <c r="R38" s="14"/>
      <c r="S38" s="14"/>
      <c r="T38" s="14"/>
      <c r="U38" s="14"/>
      <c r="V38" s="14"/>
      <c r="W38" s="14"/>
      <c r="X38" s="14"/>
      <c r="Y38" s="14"/>
      <c r="Z38" s="14"/>
      <c r="AA38" s="9"/>
      <c r="AB38" s="9"/>
      <c r="AC38" s="9"/>
      <c r="AD38" s="11"/>
      <c r="AE38" s="7"/>
      <c r="AF38" s="12"/>
      <c r="AG38" s="12"/>
      <c r="AH38" s="12"/>
      <c r="AI38" s="7"/>
      <c r="AJ38" s="7"/>
      <c r="AK38" s="7"/>
      <c r="AL38" s="7"/>
      <c r="AM38" s="7"/>
      <c r="AN38" s="7"/>
      <c r="AO38" s="16"/>
      <c r="AP38" s="7"/>
      <c r="AQ38" s="7"/>
      <c r="AR38" s="7"/>
      <c r="AS38" s="7"/>
      <c r="AT38" s="7"/>
      <c r="AU38" s="16"/>
      <c r="AV38" s="7"/>
      <c r="AW38" s="7"/>
      <c r="AX38" s="7"/>
      <c r="AY38" s="7"/>
      <c r="AZ38" s="7"/>
      <c r="BA38" s="7"/>
      <c r="BB38" s="16"/>
      <c r="BC38" s="7"/>
      <c r="BD38" s="7"/>
      <c r="BE38" s="7"/>
      <c r="BF38" s="16"/>
      <c r="BG38" s="7"/>
      <c r="BH38" s="7"/>
      <c r="BI38" s="7"/>
      <c r="BJ38" s="7"/>
      <c r="BK38" s="7"/>
      <c r="BL38" s="7"/>
      <c r="BM38" s="7"/>
      <c r="BN38" s="16"/>
      <c r="BO38" s="7"/>
      <c r="BP38" s="7"/>
      <c r="BQ38" s="7"/>
      <c r="BR38" s="7"/>
      <c r="BS38" s="16"/>
      <c r="BT38" s="7"/>
      <c r="BU38" s="7"/>
      <c r="BV38" s="7"/>
      <c r="BW38" s="7"/>
      <c r="BX38" s="16"/>
      <c r="BY38" s="16"/>
      <c r="BZ38" s="7"/>
      <c r="CA38" s="7"/>
      <c r="CB38" s="7"/>
      <c r="CC38" s="7"/>
      <c r="CD38" s="16"/>
      <c r="CE38" s="7"/>
      <c r="CF38" s="7"/>
      <c r="CG38" s="7"/>
      <c r="CH38" s="7"/>
      <c r="CI38" s="16"/>
      <c r="CJ38" s="7"/>
      <c r="CK38" s="7"/>
      <c r="CL38" s="7"/>
      <c r="CM38" s="7"/>
      <c r="CN38" s="7"/>
      <c r="CO38" s="7"/>
      <c r="CP38" s="7"/>
      <c r="CQ38" s="16"/>
      <c r="CR38" s="7"/>
      <c r="CS38" s="7"/>
      <c r="CT38" s="7"/>
      <c r="CU38" s="7"/>
      <c r="CV38" s="7"/>
      <c r="CW38" s="16"/>
      <c r="CX38" s="7"/>
      <c r="CY38" s="16"/>
      <c r="CZ38" s="7"/>
      <c r="DA38" s="7"/>
      <c r="DB38" s="7"/>
      <c r="DC38" s="7"/>
      <c r="DD38" s="7"/>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row>
    <row r="39" spans="1:136" s="4" customFormat="1" ht="18" customHeight="1">
      <c r="A39" s="7"/>
      <c r="B39" s="7"/>
      <c r="C39" s="7"/>
      <c r="D39" s="7"/>
      <c r="E39" s="14"/>
      <c r="F39" s="7"/>
      <c r="G39" s="9"/>
      <c r="H39" s="9"/>
      <c r="I39" s="9"/>
      <c r="J39" s="14"/>
      <c r="K39" s="14"/>
      <c r="L39" s="14"/>
      <c r="M39" s="14"/>
      <c r="N39" s="14"/>
      <c r="O39" s="14"/>
      <c r="P39" s="14"/>
      <c r="Q39" s="14"/>
      <c r="R39" s="14"/>
      <c r="S39" s="14"/>
      <c r="T39" s="14"/>
      <c r="U39" s="14"/>
      <c r="V39" s="14"/>
      <c r="W39" s="14"/>
      <c r="X39" s="14"/>
      <c r="Y39" s="14"/>
      <c r="Z39" s="14"/>
      <c r="AA39" s="9"/>
      <c r="AB39" s="9"/>
      <c r="AC39" s="9"/>
      <c r="AD39" s="11"/>
      <c r="AE39" s="7"/>
      <c r="AF39" s="12"/>
      <c r="AG39" s="12"/>
      <c r="AH39" s="12"/>
      <c r="AI39" s="7"/>
      <c r="AJ39" s="7"/>
      <c r="AK39" s="7"/>
      <c r="AL39" s="7"/>
      <c r="AM39" s="7"/>
      <c r="AN39" s="7"/>
      <c r="AO39" s="16"/>
      <c r="AP39" s="7"/>
      <c r="AQ39" s="7"/>
      <c r="AR39" s="7"/>
      <c r="AS39" s="7"/>
      <c r="AT39" s="7"/>
      <c r="AU39" s="16"/>
      <c r="AV39" s="7"/>
      <c r="AW39" s="7"/>
      <c r="AX39" s="7"/>
      <c r="AY39" s="7"/>
      <c r="AZ39" s="7"/>
      <c r="BA39" s="7"/>
      <c r="BB39" s="16"/>
      <c r="BC39" s="7"/>
      <c r="BD39" s="7"/>
      <c r="BE39" s="7"/>
      <c r="BF39" s="16"/>
      <c r="BG39" s="7"/>
      <c r="BH39" s="7"/>
      <c r="BI39" s="7"/>
      <c r="BJ39" s="7"/>
      <c r="BK39" s="7"/>
      <c r="BL39" s="7"/>
      <c r="BM39" s="7"/>
      <c r="BN39" s="16"/>
      <c r="BO39" s="7"/>
      <c r="BP39" s="7"/>
      <c r="BQ39" s="7"/>
      <c r="BR39" s="7"/>
      <c r="BS39" s="16"/>
      <c r="BT39" s="7"/>
      <c r="BU39" s="7"/>
      <c r="BV39" s="7"/>
      <c r="BW39" s="7"/>
      <c r="BX39" s="16"/>
      <c r="BY39" s="16"/>
      <c r="BZ39" s="7"/>
      <c r="CA39" s="7"/>
      <c r="CB39" s="7"/>
      <c r="CC39" s="7"/>
      <c r="CD39" s="16"/>
      <c r="CE39" s="7"/>
      <c r="CF39" s="7"/>
      <c r="CG39" s="7"/>
      <c r="CH39" s="7"/>
      <c r="CI39" s="16"/>
      <c r="CJ39" s="7"/>
      <c r="CK39" s="7"/>
      <c r="CL39" s="7"/>
      <c r="CM39" s="7"/>
      <c r="CN39" s="7"/>
      <c r="CO39" s="7"/>
      <c r="CP39" s="7"/>
      <c r="CQ39" s="16"/>
      <c r="CR39" s="7"/>
      <c r="CS39" s="7"/>
      <c r="CT39" s="7"/>
      <c r="CU39" s="7"/>
      <c r="CV39" s="7"/>
      <c r="CW39" s="16"/>
      <c r="CX39" s="7"/>
      <c r="CY39" s="16"/>
      <c r="CZ39" s="7"/>
      <c r="DA39" s="7"/>
      <c r="DB39" s="7"/>
      <c r="DC39" s="7"/>
      <c r="DD39" s="7"/>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row>
    <row r="40" spans="1:136" s="4" customFormat="1" ht="18" customHeight="1">
      <c r="A40" s="7"/>
      <c r="B40" s="7"/>
      <c r="C40" s="7"/>
      <c r="D40" s="7"/>
      <c r="E40" s="14"/>
      <c r="F40" s="7"/>
      <c r="G40" s="9"/>
      <c r="H40" s="9"/>
      <c r="I40" s="9"/>
      <c r="J40" s="14"/>
      <c r="K40" s="14"/>
      <c r="L40" s="14"/>
      <c r="M40" s="14"/>
      <c r="N40" s="14"/>
      <c r="O40" s="14"/>
      <c r="P40" s="14"/>
      <c r="Q40" s="14"/>
      <c r="R40" s="14"/>
      <c r="S40" s="14"/>
      <c r="T40" s="14"/>
      <c r="U40" s="14"/>
      <c r="V40" s="14"/>
      <c r="W40" s="14"/>
      <c r="X40" s="14"/>
      <c r="Y40" s="14"/>
      <c r="Z40" s="14"/>
      <c r="AA40" s="9"/>
      <c r="AB40" s="9"/>
      <c r="AC40" s="9"/>
      <c r="AD40" s="11"/>
      <c r="AE40" s="7"/>
      <c r="AF40" s="12"/>
      <c r="AG40" s="12"/>
      <c r="AH40" s="12"/>
      <c r="AI40" s="7"/>
      <c r="AJ40" s="7"/>
      <c r="AK40" s="7"/>
      <c r="AL40" s="7"/>
      <c r="AM40" s="7"/>
      <c r="AN40" s="7"/>
      <c r="AO40" s="16"/>
      <c r="AP40" s="7"/>
      <c r="AQ40" s="7"/>
      <c r="AR40" s="7"/>
      <c r="AS40" s="7"/>
      <c r="AT40" s="7"/>
      <c r="AU40" s="16"/>
      <c r="AV40" s="7"/>
      <c r="AW40" s="7"/>
      <c r="AX40" s="7"/>
      <c r="AY40" s="7"/>
      <c r="AZ40" s="7"/>
      <c r="BA40" s="7"/>
      <c r="BB40" s="16"/>
      <c r="BC40" s="7"/>
      <c r="BD40" s="7"/>
      <c r="BE40" s="7"/>
      <c r="BF40" s="16"/>
      <c r="BG40" s="7"/>
      <c r="BH40" s="7"/>
      <c r="BI40" s="7"/>
      <c r="BJ40" s="7"/>
      <c r="BK40" s="7"/>
      <c r="BL40" s="7"/>
      <c r="BM40" s="7"/>
      <c r="BN40" s="16"/>
      <c r="BO40" s="7"/>
      <c r="BP40" s="7"/>
      <c r="BQ40" s="7"/>
      <c r="BR40" s="7"/>
      <c r="BS40" s="16"/>
      <c r="BT40" s="7"/>
      <c r="BU40" s="7"/>
      <c r="BV40" s="7"/>
      <c r="BW40" s="7"/>
      <c r="BX40" s="16"/>
      <c r="BY40" s="16"/>
      <c r="BZ40" s="7"/>
      <c r="CA40" s="7"/>
      <c r="CB40" s="7"/>
      <c r="CC40" s="7"/>
      <c r="CD40" s="16"/>
      <c r="CE40" s="7"/>
      <c r="CF40" s="7"/>
      <c r="CG40" s="7"/>
      <c r="CH40" s="7"/>
      <c r="CI40" s="16"/>
      <c r="CJ40" s="7"/>
      <c r="CK40" s="7"/>
      <c r="CL40" s="7"/>
      <c r="CM40" s="7"/>
      <c r="CN40" s="7"/>
      <c r="CO40" s="7"/>
      <c r="CP40" s="7"/>
      <c r="CQ40" s="16"/>
      <c r="CR40" s="7"/>
      <c r="CS40" s="7"/>
      <c r="CT40" s="7"/>
      <c r="CU40" s="7"/>
      <c r="CV40" s="7"/>
      <c r="CW40" s="16"/>
      <c r="CX40" s="7"/>
      <c r="CY40" s="16"/>
      <c r="CZ40" s="7"/>
      <c r="DA40" s="7"/>
      <c r="DB40" s="7"/>
      <c r="DC40" s="7"/>
      <c r="DD40" s="7"/>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row>
    <row r="41" spans="1:136" s="4" customFormat="1" ht="18" customHeight="1">
      <c r="A41" s="7"/>
      <c r="B41" s="7"/>
      <c r="C41" s="7"/>
      <c r="D41" s="7"/>
      <c r="E41" s="14"/>
      <c r="F41" s="7"/>
      <c r="G41" s="9"/>
      <c r="H41" s="9"/>
      <c r="I41" s="9"/>
      <c r="J41" s="14"/>
      <c r="K41" s="14"/>
      <c r="L41" s="14"/>
      <c r="M41" s="14"/>
      <c r="N41" s="14"/>
      <c r="O41" s="14"/>
      <c r="P41" s="14"/>
      <c r="Q41" s="14"/>
      <c r="R41" s="14"/>
      <c r="S41" s="14"/>
      <c r="T41" s="14"/>
      <c r="U41" s="14"/>
      <c r="V41" s="14"/>
      <c r="W41" s="14"/>
      <c r="X41" s="14"/>
      <c r="Y41" s="14"/>
      <c r="Z41" s="14"/>
      <c r="AA41" s="9"/>
      <c r="AB41" s="9"/>
      <c r="AC41" s="9"/>
      <c r="AD41" s="11"/>
      <c r="AE41" s="7"/>
      <c r="AF41" s="12"/>
      <c r="AG41" s="12"/>
      <c r="AH41" s="12"/>
      <c r="AI41" s="7"/>
      <c r="AJ41" s="7"/>
      <c r="AK41" s="7"/>
      <c r="AL41" s="7"/>
      <c r="AM41" s="7"/>
      <c r="AN41" s="7"/>
      <c r="AO41" s="16"/>
      <c r="AP41" s="7"/>
      <c r="AQ41" s="7"/>
      <c r="AR41" s="7"/>
      <c r="AS41" s="7"/>
      <c r="AT41" s="7"/>
      <c r="AU41" s="16"/>
      <c r="AV41" s="7"/>
      <c r="AW41" s="7"/>
      <c r="AX41" s="7"/>
      <c r="AY41" s="7"/>
      <c r="AZ41" s="7"/>
      <c r="BA41" s="7"/>
      <c r="BB41" s="16"/>
      <c r="BC41" s="7"/>
      <c r="BD41" s="7"/>
      <c r="BE41" s="7"/>
      <c r="BF41" s="16"/>
      <c r="BG41" s="7"/>
      <c r="BH41" s="7"/>
      <c r="BI41" s="7"/>
      <c r="BJ41" s="7"/>
      <c r="BK41" s="7"/>
      <c r="BL41" s="7"/>
      <c r="BM41" s="7"/>
      <c r="BN41" s="16"/>
      <c r="BO41" s="7"/>
      <c r="BP41" s="7"/>
      <c r="BQ41" s="7"/>
      <c r="BR41" s="7"/>
      <c r="BS41" s="16"/>
      <c r="BT41" s="7"/>
      <c r="BU41" s="7"/>
      <c r="BV41" s="7"/>
      <c r="BW41" s="7"/>
      <c r="BX41" s="16"/>
      <c r="BY41" s="16"/>
      <c r="BZ41" s="7"/>
      <c r="CA41" s="7"/>
      <c r="CB41" s="7"/>
      <c r="CC41" s="7"/>
      <c r="CD41" s="16"/>
      <c r="CE41" s="7"/>
      <c r="CF41" s="7"/>
      <c r="CG41" s="7"/>
      <c r="CH41" s="7"/>
      <c r="CI41" s="16"/>
      <c r="CJ41" s="7"/>
      <c r="CK41" s="7"/>
      <c r="CL41" s="7"/>
      <c r="CM41" s="7"/>
      <c r="CN41" s="7"/>
      <c r="CO41" s="7"/>
      <c r="CP41" s="7"/>
      <c r="CQ41" s="16"/>
      <c r="CR41" s="7"/>
      <c r="CS41" s="7"/>
      <c r="CT41" s="7"/>
      <c r="CU41" s="7"/>
      <c r="CV41" s="7"/>
      <c r="CW41" s="16"/>
      <c r="CX41" s="7"/>
      <c r="CY41" s="16"/>
      <c r="CZ41" s="7"/>
      <c r="DA41" s="7"/>
      <c r="DB41" s="7"/>
      <c r="DC41" s="7"/>
      <c r="DD41" s="7"/>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row>
    <row r="42" spans="1:136" s="4" customFormat="1" ht="18" customHeight="1">
      <c r="A42" s="7"/>
      <c r="B42" s="7"/>
      <c r="C42" s="7"/>
      <c r="D42" s="7"/>
      <c r="E42" s="14"/>
      <c r="F42" s="7"/>
      <c r="G42" s="9"/>
      <c r="H42" s="9"/>
      <c r="I42" s="9"/>
      <c r="J42" s="14"/>
      <c r="K42" s="14"/>
      <c r="L42" s="14"/>
      <c r="M42" s="14"/>
      <c r="N42" s="14"/>
      <c r="O42" s="14"/>
      <c r="P42" s="14"/>
      <c r="Q42" s="14"/>
      <c r="R42" s="14"/>
      <c r="S42" s="14"/>
      <c r="T42" s="14"/>
      <c r="U42" s="14"/>
      <c r="V42" s="14"/>
      <c r="W42" s="14"/>
      <c r="X42" s="14"/>
      <c r="Y42" s="14"/>
      <c r="Z42" s="14"/>
      <c r="AA42" s="9"/>
      <c r="AB42" s="9"/>
      <c r="AC42" s="9"/>
      <c r="AD42" s="11"/>
      <c r="AE42" s="7"/>
      <c r="AF42" s="12"/>
      <c r="AG42" s="12"/>
      <c r="AH42" s="12"/>
      <c r="AI42" s="7"/>
      <c r="AJ42" s="7"/>
      <c r="AK42" s="7"/>
      <c r="AL42" s="7"/>
      <c r="AM42" s="7"/>
      <c r="AN42" s="7"/>
      <c r="AO42" s="16"/>
      <c r="AP42" s="7"/>
      <c r="AQ42" s="7"/>
      <c r="AR42" s="7"/>
      <c r="AS42" s="7"/>
      <c r="AT42" s="7"/>
      <c r="AU42" s="16"/>
      <c r="AV42" s="7"/>
      <c r="AW42" s="7"/>
      <c r="AX42" s="7"/>
      <c r="AY42" s="7"/>
      <c r="AZ42" s="7"/>
      <c r="BA42" s="7"/>
      <c r="BB42" s="16"/>
      <c r="BC42" s="7"/>
      <c r="BD42" s="7"/>
      <c r="BE42" s="7"/>
      <c r="BF42" s="16"/>
      <c r="BG42" s="7"/>
      <c r="BH42" s="7"/>
      <c r="BI42" s="7"/>
      <c r="BJ42" s="7"/>
      <c r="BK42" s="7"/>
      <c r="BL42" s="7"/>
      <c r="BM42" s="7"/>
      <c r="BN42" s="16"/>
      <c r="BO42" s="7"/>
      <c r="BP42" s="7"/>
      <c r="BQ42" s="7"/>
      <c r="BR42" s="7"/>
      <c r="BS42" s="16"/>
      <c r="BT42" s="7"/>
      <c r="BU42" s="7"/>
      <c r="BV42" s="7"/>
      <c r="BW42" s="7"/>
      <c r="BX42" s="16"/>
      <c r="BY42" s="16"/>
      <c r="BZ42" s="7"/>
      <c r="CA42" s="7"/>
      <c r="CB42" s="7"/>
      <c r="CC42" s="7"/>
      <c r="CD42" s="16"/>
      <c r="CE42" s="7"/>
      <c r="CF42" s="7"/>
      <c r="CG42" s="7"/>
      <c r="CH42" s="7"/>
      <c r="CI42" s="16"/>
      <c r="CJ42" s="7"/>
      <c r="CK42" s="7"/>
      <c r="CL42" s="7"/>
      <c r="CM42" s="7"/>
      <c r="CN42" s="7"/>
      <c r="CO42" s="7"/>
      <c r="CP42" s="7"/>
      <c r="CQ42" s="16"/>
      <c r="CR42" s="7"/>
      <c r="CS42" s="7"/>
      <c r="CT42" s="7"/>
      <c r="CU42" s="7"/>
      <c r="CV42" s="7"/>
      <c r="CW42" s="16"/>
      <c r="CX42" s="7"/>
      <c r="CY42" s="16"/>
      <c r="CZ42" s="7"/>
      <c r="DA42" s="7"/>
      <c r="DB42" s="7"/>
      <c r="DC42" s="7"/>
      <c r="DD42" s="7"/>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row>
    <row r="43" spans="1:136" s="4" customFormat="1" ht="18" customHeight="1">
      <c r="A43" s="7"/>
      <c r="B43" s="7"/>
      <c r="C43" s="7"/>
      <c r="D43" s="7"/>
      <c r="E43" s="14"/>
      <c r="F43" s="7"/>
      <c r="G43" s="9"/>
      <c r="H43" s="9"/>
      <c r="I43" s="9"/>
      <c r="J43" s="14"/>
      <c r="K43" s="14"/>
      <c r="L43" s="14"/>
      <c r="M43" s="14"/>
      <c r="N43" s="14"/>
      <c r="O43" s="14"/>
      <c r="P43" s="14"/>
      <c r="Q43" s="14"/>
      <c r="R43" s="14"/>
      <c r="S43" s="14"/>
      <c r="T43" s="14"/>
      <c r="U43" s="14"/>
      <c r="V43" s="14"/>
      <c r="W43" s="14"/>
      <c r="X43" s="14"/>
      <c r="Y43" s="14"/>
      <c r="Z43" s="14"/>
      <c r="AA43" s="9"/>
      <c r="AB43" s="9"/>
      <c r="AC43" s="9"/>
      <c r="AD43" s="11"/>
      <c r="AE43" s="7"/>
      <c r="AF43" s="12"/>
      <c r="AG43" s="12"/>
      <c r="AH43" s="12"/>
      <c r="AI43" s="7"/>
      <c r="AJ43" s="7"/>
      <c r="AK43" s="7"/>
      <c r="AL43" s="7"/>
      <c r="AM43" s="7"/>
      <c r="AN43" s="7"/>
      <c r="AO43" s="16"/>
      <c r="AP43" s="7"/>
      <c r="AQ43" s="7"/>
      <c r="AR43" s="7"/>
      <c r="AS43" s="7"/>
      <c r="AT43" s="7"/>
      <c r="AU43" s="16"/>
      <c r="AV43" s="7"/>
      <c r="AW43" s="7"/>
      <c r="AX43" s="7"/>
      <c r="AY43" s="7"/>
      <c r="AZ43" s="7"/>
      <c r="BA43" s="7"/>
      <c r="BB43" s="16"/>
      <c r="BC43" s="7"/>
      <c r="BD43" s="7"/>
      <c r="BE43" s="7"/>
      <c r="BF43" s="16"/>
      <c r="BG43" s="7"/>
      <c r="BH43" s="7"/>
      <c r="BI43" s="7"/>
      <c r="BJ43" s="7"/>
      <c r="BK43" s="7"/>
      <c r="BL43" s="7"/>
      <c r="BM43" s="7"/>
      <c r="BN43" s="16"/>
      <c r="BO43" s="7"/>
      <c r="BP43" s="7"/>
      <c r="BQ43" s="7"/>
      <c r="BR43" s="7"/>
      <c r="BS43" s="16"/>
      <c r="BT43" s="7"/>
      <c r="BU43" s="7"/>
      <c r="BV43" s="7"/>
      <c r="BW43" s="7"/>
      <c r="BX43" s="16"/>
      <c r="BY43" s="16"/>
      <c r="BZ43" s="7"/>
      <c r="CA43" s="7"/>
      <c r="CB43" s="7"/>
      <c r="CC43" s="7"/>
      <c r="CD43" s="16"/>
      <c r="CE43" s="7"/>
      <c r="CF43" s="7"/>
      <c r="CG43" s="7"/>
      <c r="CH43" s="7"/>
      <c r="CI43" s="16"/>
      <c r="CJ43" s="7"/>
      <c r="CK43" s="7"/>
      <c r="CL43" s="7"/>
      <c r="CM43" s="7"/>
      <c r="CN43" s="7"/>
      <c r="CO43" s="7"/>
      <c r="CP43" s="7"/>
      <c r="CQ43" s="16"/>
      <c r="CR43" s="7"/>
      <c r="CS43" s="7"/>
      <c r="CT43" s="7"/>
      <c r="CU43" s="7"/>
      <c r="CV43" s="7"/>
      <c r="CW43" s="16"/>
      <c r="CX43" s="7"/>
      <c r="CY43" s="16"/>
      <c r="CZ43" s="7"/>
      <c r="DA43" s="7"/>
      <c r="DB43" s="7"/>
      <c r="DC43" s="7"/>
      <c r="DD43" s="7"/>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row>
    <row r="44" spans="1:136" s="4" customFormat="1" ht="18" customHeight="1">
      <c r="A44" s="7"/>
      <c r="B44" s="7"/>
      <c r="C44" s="7"/>
      <c r="D44" s="7"/>
      <c r="E44" s="14"/>
      <c r="F44" s="7"/>
      <c r="G44" s="9"/>
      <c r="H44" s="9"/>
      <c r="I44" s="9"/>
      <c r="J44" s="14"/>
      <c r="K44" s="14"/>
      <c r="L44" s="14"/>
      <c r="M44" s="14"/>
      <c r="N44" s="14"/>
      <c r="O44" s="14"/>
      <c r="P44" s="14"/>
      <c r="Q44" s="14"/>
      <c r="R44" s="14"/>
      <c r="S44" s="14"/>
      <c r="T44" s="14"/>
      <c r="U44" s="14"/>
      <c r="V44" s="14"/>
      <c r="W44" s="14"/>
      <c r="X44" s="14"/>
      <c r="Y44" s="14"/>
      <c r="Z44" s="14"/>
      <c r="AA44" s="9"/>
      <c r="AB44" s="9"/>
      <c r="AC44" s="9"/>
      <c r="AD44" s="11"/>
      <c r="AE44" s="7"/>
      <c r="AF44" s="12"/>
      <c r="AG44" s="12"/>
      <c r="AH44" s="12"/>
      <c r="AI44" s="7"/>
      <c r="AJ44" s="7"/>
      <c r="AK44" s="7"/>
      <c r="AL44" s="7"/>
      <c r="AM44" s="7"/>
      <c r="AN44" s="7"/>
      <c r="AO44" s="16"/>
      <c r="AP44" s="7"/>
      <c r="AQ44" s="7"/>
      <c r="AR44" s="7"/>
      <c r="AS44" s="7"/>
      <c r="AT44" s="7"/>
      <c r="AU44" s="16"/>
      <c r="AV44" s="7"/>
      <c r="AW44" s="7"/>
      <c r="AX44" s="7"/>
      <c r="AY44" s="7"/>
      <c r="AZ44" s="7"/>
      <c r="BA44" s="7"/>
      <c r="BB44" s="16"/>
      <c r="BC44" s="7"/>
      <c r="BD44" s="7"/>
      <c r="BE44" s="7"/>
      <c r="BF44" s="16"/>
      <c r="BG44" s="7"/>
      <c r="BH44" s="7"/>
      <c r="BI44" s="7"/>
      <c r="BJ44" s="7"/>
      <c r="BK44" s="7"/>
      <c r="BL44" s="7"/>
      <c r="BM44" s="7"/>
      <c r="BN44" s="16"/>
      <c r="BO44" s="7"/>
      <c r="BP44" s="7"/>
      <c r="BQ44" s="7"/>
      <c r="BR44" s="7"/>
      <c r="BS44" s="16"/>
      <c r="BT44" s="7"/>
      <c r="BU44" s="7"/>
      <c r="BV44" s="7"/>
      <c r="BW44" s="7"/>
      <c r="BX44" s="16"/>
      <c r="BY44" s="16"/>
      <c r="BZ44" s="7"/>
      <c r="CA44" s="7"/>
      <c r="CB44" s="7"/>
      <c r="CC44" s="7"/>
      <c r="CD44" s="16"/>
      <c r="CE44" s="7"/>
      <c r="CF44" s="7"/>
      <c r="CG44" s="7"/>
      <c r="CH44" s="7"/>
      <c r="CI44" s="16"/>
      <c r="CJ44" s="7"/>
      <c r="CK44" s="7"/>
      <c r="CL44" s="7"/>
      <c r="CM44" s="7"/>
      <c r="CN44" s="7"/>
      <c r="CO44" s="7"/>
      <c r="CP44" s="7"/>
      <c r="CQ44" s="16"/>
      <c r="CR44" s="7"/>
      <c r="CS44" s="7"/>
      <c r="CT44" s="7"/>
      <c r="CU44" s="7"/>
      <c r="CV44" s="7"/>
      <c r="CW44" s="16"/>
      <c r="CX44" s="7"/>
      <c r="CY44" s="16"/>
      <c r="CZ44" s="7"/>
      <c r="DA44" s="7"/>
      <c r="DB44" s="7"/>
      <c r="DC44" s="7"/>
      <c r="DD44" s="7"/>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row>
    <row r="45" spans="1:136" s="4" customFormat="1" ht="18" customHeight="1">
      <c r="A45" s="7"/>
      <c r="B45" s="7"/>
      <c r="C45" s="7"/>
      <c r="D45" s="7"/>
      <c r="E45" s="14"/>
      <c r="F45" s="7"/>
      <c r="G45" s="9"/>
      <c r="H45" s="9"/>
      <c r="I45" s="9"/>
      <c r="J45" s="14"/>
      <c r="K45" s="14"/>
      <c r="L45" s="14"/>
      <c r="M45" s="14"/>
      <c r="N45" s="14"/>
      <c r="O45" s="14"/>
      <c r="P45" s="14"/>
      <c r="Q45" s="14"/>
      <c r="R45" s="14"/>
      <c r="S45" s="14"/>
      <c r="T45" s="14"/>
      <c r="U45" s="14"/>
      <c r="V45" s="14"/>
      <c r="W45" s="14"/>
      <c r="X45" s="14"/>
      <c r="Y45" s="14"/>
      <c r="Z45" s="14"/>
      <c r="AA45" s="9"/>
      <c r="AB45" s="9"/>
      <c r="AC45" s="9"/>
      <c r="AD45" s="11"/>
      <c r="AE45" s="7"/>
      <c r="AF45" s="12"/>
      <c r="AG45" s="12"/>
      <c r="AH45" s="12"/>
      <c r="AI45" s="7"/>
      <c r="AJ45" s="7"/>
      <c r="AK45" s="7"/>
      <c r="AL45" s="7"/>
      <c r="AM45" s="7"/>
      <c r="AN45" s="7"/>
      <c r="AO45" s="16"/>
      <c r="AP45" s="7"/>
      <c r="AQ45" s="7"/>
      <c r="AR45" s="7"/>
      <c r="AS45" s="7"/>
      <c r="AT45" s="7"/>
      <c r="AU45" s="16"/>
      <c r="AV45" s="7"/>
      <c r="AW45" s="7"/>
      <c r="AX45" s="7"/>
      <c r="AY45" s="7"/>
      <c r="AZ45" s="7"/>
      <c r="BA45" s="7"/>
      <c r="BB45" s="16"/>
      <c r="BC45" s="7"/>
      <c r="BD45" s="7"/>
      <c r="BE45" s="7"/>
      <c r="BF45" s="16"/>
      <c r="BG45" s="7"/>
      <c r="BH45" s="7"/>
      <c r="BI45" s="7"/>
      <c r="BJ45" s="7"/>
      <c r="BK45" s="7"/>
      <c r="BL45" s="7"/>
      <c r="BM45" s="7"/>
      <c r="BN45" s="16"/>
      <c r="BO45" s="7"/>
      <c r="BP45" s="7"/>
      <c r="BQ45" s="7"/>
      <c r="BR45" s="7"/>
      <c r="BS45" s="16"/>
      <c r="BT45" s="7"/>
      <c r="BU45" s="7"/>
      <c r="BV45" s="7"/>
      <c r="BW45" s="7"/>
      <c r="BX45" s="16"/>
      <c r="BY45" s="16"/>
      <c r="BZ45" s="7"/>
      <c r="CA45" s="7"/>
      <c r="CB45" s="7"/>
      <c r="CC45" s="7"/>
      <c r="CD45" s="16"/>
      <c r="CE45" s="7"/>
      <c r="CF45" s="7"/>
      <c r="CG45" s="7"/>
      <c r="CH45" s="7"/>
      <c r="CI45" s="16"/>
      <c r="CJ45" s="7"/>
      <c r="CK45" s="7"/>
      <c r="CL45" s="7"/>
      <c r="CM45" s="7"/>
      <c r="CN45" s="7"/>
      <c r="CO45" s="7"/>
      <c r="CP45" s="7"/>
      <c r="CQ45" s="16"/>
      <c r="CR45" s="7"/>
      <c r="CS45" s="7"/>
      <c r="CT45" s="7"/>
      <c r="CU45" s="7"/>
      <c r="CV45" s="7"/>
      <c r="CW45" s="16"/>
      <c r="CX45" s="7"/>
      <c r="CY45" s="16"/>
      <c r="CZ45" s="7"/>
      <c r="DA45" s="7"/>
      <c r="DB45" s="7"/>
      <c r="DC45" s="7"/>
      <c r="DD45" s="7"/>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row>
    <row r="46" spans="1:136" s="4" customFormat="1" ht="18" customHeight="1">
      <c r="A46" s="7"/>
      <c r="B46" s="7"/>
      <c r="C46" s="7"/>
      <c r="D46" s="7"/>
      <c r="E46" s="14"/>
      <c r="F46" s="7"/>
      <c r="G46" s="9"/>
      <c r="H46" s="9"/>
      <c r="I46" s="9"/>
      <c r="J46" s="14"/>
      <c r="K46" s="14"/>
      <c r="L46" s="14"/>
      <c r="M46" s="14"/>
      <c r="N46" s="14"/>
      <c r="O46" s="14"/>
      <c r="P46" s="14"/>
      <c r="Q46" s="14"/>
      <c r="R46" s="14"/>
      <c r="S46" s="14"/>
      <c r="T46" s="14"/>
      <c r="U46" s="14"/>
      <c r="V46" s="14"/>
      <c r="W46" s="14"/>
      <c r="X46" s="14"/>
      <c r="Y46" s="14"/>
      <c r="Z46" s="14"/>
      <c r="AA46" s="9"/>
      <c r="AB46" s="9"/>
      <c r="AC46" s="9"/>
      <c r="AD46" s="11"/>
      <c r="AE46" s="7"/>
      <c r="AF46" s="12"/>
      <c r="AG46" s="12"/>
      <c r="AH46" s="12"/>
      <c r="AI46" s="7"/>
      <c r="AJ46" s="7"/>
      <c r="AK46" s="7"/>
      <c r="AL46" s="7"/>
      <c r="AM46" s="7"/>
      <c r="AN46" s="7"/>
      <c r="AO46" s="16"/>
      <c r="AP46" s="7"/>
      <c r="AQ46" s="7"/>
      <c r="AR46" s="7"/>
      <c r="AS46" s="7"/>
      <c r="AT46" s="7"/>
      <c r="AU46" s="16"/>
      <c r="AV46" s="7"/>
      <c r="AW46" s="7"/>
      <c r="AX46" s="7"/>
      <c r="AY46" s="7"/>
      <c r="AZ46" s="7"/>
      <c r="BA46" s="7"/>
      <c r="BB46" s="16"/>
      <c r="BC46" s="7"/>
      <c r="BD46" s="7"/>
      <c r="BE46" s="7"/>
      <c r="BF46" s="16"/>
      <c r="BG46" s="7"/>
      <c r="BH46" s="7"/>
      <c r="BI46" s="7"/>
      <c r="BJ46" s="7"/>
      <c r="BK46" s="7"/>
      <c r="BL46" s="7"/>
      <c r="BM46" s="7"/>
      <c r="BN46" s="16"/>
      <c r="BO46" s="7"/>
      <c r="BP46" s="7"/>
      <c r="BQ46" s="7"/>
      <c r="BR46" s="7"/>
      <c r="BS46" s="16"/>
      <c r="BT46" s="7"/>
      <c r="BU46" s="7"/>
      <c r="BV46" s="7"/>
      <c r="BW46" s="7"/>
      <c r="BX46" s="16"/>
      <c r="BY46" s="16"/>
      <c r="BZ46" s="7"/>
      <c r="CA46" s="7"/>
      <c r="CB46" s="7"/>
      <c r="CC46" s="7"/>
      <c r="CD46" s="16"/>
      <c r="CE46" s="7"/>
      <c r="CF46" s="7"/>
      <c r="CG46" s="7"/>
      <c r="CH46" s="7"/>
      <c r="CI46" s="16"/>
      <c r="CJ46" s="7"/>
      <c r="CK46" s="7"/>
      <c r="CL46" s="7"/>
      <c r="CM46" s="7"/>
      <c r="CN46" s="7"/>
      <c r="CO46" s="7"/>
      <c r="CP46" s="7"/>
      <c r="CQ46" s="16"/>
      <c r="CR46" s="7"/>
      <c r="CS46" s="7"/>
      <c r="CT46" s="7"/>
      <c r="CU46" s="7"/>
      <c r="CV46" s="7"/>
      <c r="CW46" s="16"/>
      <c r="CX46" s="7"/>
      <c r="CY46" s="16"/>
      <c r="CZ46" s="7"/>
      <c r="DA46" s="7"/>
      <c r="DB46" s="7"/>
      <c r="DC46" s="7"/>
      <c r="DD46" s="7"/>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row>
    <row r="47" spans="1:136" s="2" customFormat="1" ht="18" customHeight="1">
      <c r="A47" s="7"/>
      <c r="B47" s="7"/>
      <c r="C47" s="7"/>
      <c r="D47" s="7"/>
      <c r="E47" s="9"/>
      <c r="F47" s="7"/>
      <c r="G47" s="9"/>
      <c r="H47" s="9"/>
      <c r="I47" s="9"/>
      <c r="J47" s="14"/>
      <c r="K47" s="14"/>
      <c r="L47" s="14"/>
      <c r="M47" s="14"/>
      <c r="N47" s="14"/>
      <c r="O47" s="14"/>
      <c r="P47" s="14"/>
      <c r="Q47" s="14"/>
      <c r="R47" s="14"/>
      <c r="S47" s="14"/>
      <c r="T47" s="14"/>
      <c r="U47" s="14"/>
      <c r="V47" s="14"/>
      <c r="W47" s="14"/>
      <c r="X47" s="14"/>
      <c r="Y47" s="14"/>
      <c r="Z47" s="14"/>
      <c r="AA47" s="9"/>
      <c r="AB47" s="9"/>
      <c r="AC47" s="9"/>
      <c r="AD47" s="15"/>
      <c r="AE47" s="7"/>
      <c r="AF47" s="12"/>
      <c r="AG47" s="12"/>
      <c r="AH47" s="12"/>
      <c r="AI47" s="7"/>
      <c r="AJ47" s="7"/>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row>
    <row r="48" spans="1:136" s="2" customFormat="1" ht="18" customHeight="1">
      <c r="A48" s="7"/>
      <c r="B48" s="7"/>
      <c r="C48" s="7"/>
      <c r="D48" s="7"/>
      <c r="E48" s="9"/>
      <c r="F48" s="14"/>
      <c r="G48" s="9"/>
      <c r="H48" s="9"/>
      <c r="I48" s="9"/>
      <c r="J48" s="14"/>
      <c r="K48" s="14"/>
      <c r="L48" s="14"/>
      <c r="M48" s="14"/>
      <c r="N48" s="14"/>
      <c r="O48" s="14"/>
      <c r="P48" s="14"/>
      <c r="Q48" s="14"/>
      <c r="R48" s="14"/>
      <c r="S48" s="14"/>
      <c r="T48" s="14"/>
      <c r="U48" s="14"/>
      <c r="V48" s="14"/>
      <c r="W48" s="14"/>
      <c r="X48" s="14"/>
      <c r="Y48" s="14"/>
      <c r="Z48" s="14"/>
      <c r="AA48" s="9"/>
      <c r="AB48" s="9"/>
      <c r="AC48" s="9"/>
      <c r="AD48" s="15"/>
      <c r="AE48" s="7"/>
      <c r="AF48" s="12"/>
      <c r="AG48" s="12"/>
      <c r="AH48" s="12"/>
      <c r="AI48" s="7"/>
      <c r="AJ48" s="7"/>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row>
    <row r="49" spans="1:108" s="2" customFormat="1" ht="18" customHeight="1">
      <c r="A49" s="7"/>
      <c r="B49" s="16"/>
      <c r="C49" s="16"/>
      <c r="D49" s="7"/>
      <c r="E49" s="14"/>
      <c r="F49" s="7"/>
      <c r="G49" s="14"/>
      <c r="H49" s="14"/>
      <c r="I49" s="14"/>
      <c r="J49" s="14"/>
      <c r="K49" s="14"/>
      <c r="L49" s="14"/>
      <c r="M49" s="14"/>
      <c r="N49" s="14"/>
      <c r="O49" s="14"/>
      <c r="P49" s="14"/>
      <c r="Q49" s="14"/>
      <c r="R49" s="14"/>
      <c r="S49" s="14"/>
      <c r="T49" s="14"/>
      <c r="U49" s="14"/>
      <c r="V49" s="14"/>
      <c r="W49" s="14"/>
      <c r="X49" s="14"/>
      <c r="Y49" s="14"/>
      <c r="Z49" s="14"/>
      <c r="AA49" s="9"/>
      <c r="AB49" s="9"/>
      <c r="AC49" s="9"/>
      <c r="AD49" s="7"/>
      <c r="AE49" s="7"/>
      <c r="AF49" s="12"/>
      <c r="AG49" s="12"/>
      <c r="AH49" s="12"/>
      <c r="AI49" s="7"/>
      <c r="AJ49" s="7"/>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row>
    <row r="50" spans="1:108" s="2" customFormat="1" ht="18" customHeight="1">
      <c r="A50" s="7"/>
      <c r="B50" s="16"/>
      <c r="C50" s="16"/>
      <c r="D50" s="7"/>
      <c r="E50" s="14"/>
      <c r="F50" s="7"/>
      <c r="G50" s="14"/>
      <c r="H50" s="14"/>
      <c r="I50" s="14"/>
      <c r="J50" s="14"/>
      <c r="K50" s="14"/>
      <c r="L50" s="14"/>
      <c r="M50" s="14"/>
      <c r="N50" s="14"/>
      <c r="O50" s="14"/>
      <c r="P50" s="14"/>
      <c r="Q50" s="14"/>
      <c r="R50" s="14"/>
      <c r="S50" s="14"/>
      <c r="T50" s="14"/>
      <c r="U50" s="14"/>
      <c r="V50" s="14"/>
      <c r="W50" s="14"/>
      <c r="X50" s="14"/>
      <c r="Y50" s="14"/>
      <c r="Z50" s="14"/>
      <c r="AA50" s="9"/>
      <c r="AB50" s="9"/>
      <c r="AC50" s="9"/>
      <c r="AD50" s="7"/>
      <c r="AE50" s="7"/>
      <c r="AF50" s="12"/>
      <c r="AG50" s="12"/>
      <c r="AH50" s="12"/>
      <c r="AI50" s="7"/>
      <c r="AJ50" s="7"/>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row>
    <row r="51" spans="1:108" s="2" customFormat="1" ht="18" customHeight="1">
      <c r="A51" s="7"/>
      <c r="B51" s="16"/>
      <c r="C51" s="16"/>
      <c r="D51" s="16"/>
      <c r="E51" s="14"/>
      <c r="F51" s="7"/>
      <c r="G51" s="14"/>
      <c r="H51" s="14"/>
      <c r="I51" s="14"/>
      <c r="J51" s="14"/>
      <c r="K51" s="14"/>
      <c r="L51" s="14"/>
      <c r="M51" s="14"/>
      <c r="N51" s="14"/>
      <c r="O51" s="14"/>
      <c r="P51" s="14"/>
      <c r="Q51" s="14"/>
      <c r="R51" s="14"/>
      <c r="S51" s="14"/>
      <c r="T51" s="14"/>
      <c r="U51" s="14"/>
      <c r="V51" s="14"/>
      <c r="W51" s="14"/>
      <c r="X51" s="14"/>
      <c r="Y51" s="14"/>
      <c r="Z51" s="14"/>
      <c r="AA51" s="9"/>
      <c r="AB51" s="9"/>
      <c r="AC51" s="9"/>
      <c r="AD51" s="7"/>
      <c r="AE51" s="7"/>
      <c r="AF51" s="12"/>
      <c r="AG51" s="12"/>
      <c r="AH51" s="12"/>
      <c r="AI51" s="7"/>
      <c r="AJ51" s="7"/>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row>
    <row r="52" spans="1:108" s="2" customFormat="1" ht="18" customHeight="1">
      <c r="A52" s="7"/>
      <c r="B52" s="16"/>
      <c r="C52" s="16"/>
      <c r="D52" s="16"/>
      <c r="E52" s="14"/>
      <c r="F52" s="7"/>
      <c r="G52" s="14"/>
      <c r="H52" s="14"/>
      <c r="I52" s="14"/>
      <c r="J52" s="14"/>
      <c r="K52" s="14"/>
      <c r="L52" s="14"/>
      <c r="M52" s="14"/>
      <c r="N52" s="14"/>
      <c r="O52" s="14"/>
      <c r="P52" s="14"/>
      <c r="Q52" s="14"/>
      <c r="R52" s="14"/>
      <c r="S52" s="14"/>
      <c r="T52" s="14"/>
      <c r="U52" s="14"/>
      <c r="V52" s="14"/>
      <c r="W52" s="14"/>
      <c r="X52" s="14"/>
      <c r="Y52" s="14"/>
      <c r="Z52" s="14"/>
      <c r="AA52" s="9"/>
      <c r="AB52" s="9"/>
      <c r="AC52" s="9"/>
      <c r="AD52" s="7"/>
      <c r="AE52" s="7"/>
      <c r="AF52" s="12"/>
      <c r="AG52" s="12"/>
      <c r="AH52" s="12"/>
      <c r="AI52" s="7"/>
      <c r="AJ52" s="7"/>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row>
    <row r="53" spans="1:108" s="2" customFormat="1" ht="18" customHeight="1">
      <c r="A53" s="7"/>
      <c r="B53" s="16"/>
      <c r="C53" s="16"/>
      <c r="D53" s="16"/>
      <c r="E53" s="14"/>
      <c r="F53" s="7"/>
      <c r="G53" s="14"/>
      <c r="H53" s="14"/>
      <c r="I53" s="14"/>
      <c r="J53" s="14"/>
      <c r="K53" s="14"/>
      <c r="L53" s="14"/>
      <c r="M53" s="14"/>
      <c r="N53" s="14"/>
      <c r="O53" s="14"/>
      <c r="P53" s="14"/>
      <c r="Q53" s="14"/>
      <c r="R53" s="14"/>
      <c r="S53" s="14"/>
      <c r="T53" s="14"/>
      <c r="U53" s="14"/>
      <c r="V53" s="14"/>
      <c r="W53" s="14"/>
      <c r="X53" s="14"/>
      <c r="Y53" s="14"/>
      <c r="Z53" s="14"/>
      <c r="AA53" s="9"/>
      <c r="AB53" s="9"/>
      <c r="AC53" s="9"/>
      <c r="AD53" s="7"/>
      <c r="AE53" s="7"/>
      <c r="AF53" s="12"/>
      <c r="AG53" s="12"/>
      <c r="AH53" s="12"/>
      <c r="AI53" s="7"/>
      <c r="AJ53" s="7"/>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row>
    <row r="54" spans="1:108" s="2" customFormat="1" ht="18" customHeight="1">
      <c r="A54" s="7"/>
      <c r="B54" s="16"/>
      <c r="C54" s="16"/>
      <c r="D54" s="16"/>
      <c r="E54" s="14"/>
      <c r="F54" s="7"/>
      <c r="G54" s="14"/>
      <c r="H54" s="14"/>
      <c r="I54" s="14"/>
      <c r="J54" s="14"/>
      <c r="K54" s="14"/>
      <c r="L54" s="14"/>
      <c r="M54" s="14"/>
      <c r="N54" s="14"/>
      <c r="O54" s="14"/>
      <c r="P54" s="14"/>
      <c r="Q54" s="14"/>
      <c r="R54" s="14"/>
      <c r="S54" s="14"/>
      <c r="T54" s="14"/>
      <c r="U54" s="14"/>
      <c r="V54" s="14"/>
      <c r="W54" s="14"/>
      <c r="X54" s="14"/>
      <c r="Y54" s="14"/>
      <c r="Z54" s="14"/>
      <c r="AA54" s="9"/>
      <c r="AB54" s="9"/>
      <c r="AC54" s="9"/>
      <c r="AD54" s="7"/>
      <c r="AE54" s="7"/>
      <c r="AF54" s="12"/>
      <c r="AG54" s="12"/>
      <c r="AH54" s="12"/>
      <c r="AI54" s="7"/>
      <c r="AJ54" s="7"/>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row>
    <row r="55" spans="1:108" s="2" customFormat="1" ht="18" customHeight="1">
      <c r="A55" s="7"/>
      <c r="B55" s="16"/>
      <c r="C55" s="16"/>
      <c r="D55" s="16"/>
      <c r="E55" s="14"/>
      <c r="F55" s="7"/>
      <c r="G55" s="14"/>
      <c r="H55" s="14"/>
      <c r="I55" s="14"/>
      <c r="J55" s="14"/>
      <c r="K55" s="14"/>
      <c r="L55" s="14"/>
      <c r="M55" s="14"/>
      <c r="N55" s="14"/>
      <c r="O55" s="14"/>
      <c r="P55" s="14"/>
      <c r="Q55" s="14"/>
      <c r="R55" s="14"/>
      <c r="S55" s="14"/>
      <c r="T55" s="14"/>
      <c r="U55" s="14"/>
      <c r="V55" s="14"/>
      <c r="W55" s="14"/>
      <c r="X55" s="14"/>
      <c r="Y55" s="14"/>
      <c r="Z55" s="14"/>
      <c r="AA55" s="9"/>
      <c r="AB55" s="9"/>
      <c r="AC55" s="9"/>
      <c r="AD55" s="7"/>
      <c r="AE55" s="7"/>
      <c r="AF55" s="12"/>
      <c r="AG55" s="12"/>
      <c r="AH55" s="12"/>
      <c r="AI55" s="7"/>
      <c r="AJ55" s="7"/>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row>
    <row r="56" spans="1:108" s="2" customFormat="1" ht="18" customHeight="1">
      <c r="A56" s="7"/>
      <c r="B56" s="16"/>
      <c r="C56" s="16"/>
      <c r="D56" s="16"/>
      <c r="E56" s="14"/>
      <c r="F56" s="7"/>
      <c r="G56" s="14"/>
      <c r="H56" s="14"/>
      <c r="I56" s="14"/>
      <c r="J56" s="14"/>
      <c r="K56" s="14"/>
      <c r="L56" s="14"/>
      <c r="M56" s="14"/>
      <c r="N56" s="14"/>
      <c r="O56" s="14"/>
      <c r="P56" s="14"/>
      <c r="Q56" s="14"/>
      <c r="R56" s="14"/>
      <c r="S56" s="14"/>
      <c r="T56" s="14"/>
      <c r="U56" s="14"/>
      <c r="V56" s="14"/>
      <c r="W56" s="14"/>
      <c r="X56" s="14"/>
      <c r="Y56" s="14"/>
      <c r="Z56" s="14"/>
      <c r="AA56" s="9"/>
      <c r="AB56" s="9"/>
      <c r="AC56" s="9"/>
      <c r="AD56" s="7"/>
      <c r="AE56" s="7"/>
      <c r="AF56" s="12"/>
      <c r="AG56" s="12"/>
      <c r="AH56" s="12"/>
      <c r="AI56" s="7"/>
      <c r="AJ56" s="7"/>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row>
    <row r="57" spans="1:108" s="2" customFormat="1" ht="18" customHeight="1">
      <c r="A57" s="7"/>
      <c r="B57" s="16"/>
      <c r="C57" s="16"/>
      <c r="D57" s="16"/>
      <c r="E57" s="14"/>
      <c r="F57" s="7"/>
      <c r="G57" s="14"/>
      <c r="H57" s="14"/>
      <c r="I57" s="14"/>
      <c r="J57" s="14"/>
      <c r="K57" s="14"/>
      <c r="L57" s="14"/>
      <c r="M57" s="14"/>
      <c r="N57" s="14"/>
      <c r="O57" s="14"/>
      <c r="P57" s="14"/>
      <c r="Q57" s="14"/>
      <c r="R57" s="14"/>
      <c r="S57" s="14"/>
      <c r="T57" s="14"/>
      <c r="U57" s="14"/>
      <c r="V57" s="14"/>
      <c r="W57" s="14"/>
      <c r="X57" s="14"/>
      <c r="Y57" s="14"/>
      <c r="Z57" s="14"/>
      <c r="AA57" s="9"/>
      <c r="AB57" s="9"/>
      <c r="AC57" s="9"/>
      <c r="AD57" s="7"/>
      <c r="AE57" s="7"/>
      <c r="AF57" s="12"/>
      <c r="AG57" s="12"/>
      <c r="AH57" s="12"/>
      <c r="AI57" s="7"/>
      <c r="AJ57" s="7"/>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row>
    <row r="58" spans="1:108" ht="18" customHeight="1">
      <c r="A58" s="7"/>
      <c r="B58" s="17"/>
      <c r="C58" s="17"/>
      <c r="D58" s="17"/>
      <c r="E58" s="14"/>
      <c r="F58" s="7"/>
      <c r="G58" s="14"/>
      <c r="H58" s="14"/>
      <c r="I58" s="14"/>
      <c r="J58" s="14"/>
      <c r="K58" s="14"/>
      <c r="L58" s="14"/>
      <c r="M58" s="14"/>
      <c r="N58" s="14"/>
      <c r="O58" s="14"/>
      <c r="P58" s="14"/>
      <c r="Q58" s="14"/>
      <c r="R58" s="14"/>
      <c r="S58" s="14"/>
      <c r="T58" s="14"/>
      <c r="U58" s="14"/>
      <c r="V58" s="14"/>
      <c r="W58" s="14"/>
      <c r="X58" s="14"/>
      <c r="Y58" s="14"/>
      <c r="Z58" s="14"/>
      <c r="AA58" s="9"/>
      <c r="AB58" s="9"/>
      <c r="AC58" s="9"/>
      <c r="AD58" s="7"/>
      <c r="AE58" s="7"/>
      <c r="AF58" s="12"/>
      <c r="AG58" s="12"/>
      <c r="AH58" s="12"/>
      <c r="AI58" s="7"/>
      <c r="AJ58" s="7"/>
      <c r="AK58" s="17"/>
      <c r="AL58" s="17"/>
      <c r="AM58" s="17"/>
      <c r="AN58" s="17"/>
      <c r="AO58" s="16"/>
      <c r="AP58" s="17"/>
      <c r="AQ58" s="17"/>
      <c r="AR58" s="17"/>
      <c r="AS58" s="17"/>
      <c r="AT58" s="17"/>
      <c r="AU58" s="16"/>
      <c r="AV58" s="17"/>
      <c r="AW58" s="17"/>
      <c r="AX58" s="17"/>
      <c r="AY58" s="17"/>
      <c r="AZ58" s="17"/>
      <c r="BA58" s="17"/>
      <c r="BB58" s="16"/>
      <c r="BC58" s="17"/>
      <c r="BD58" s="17"/>
      <c r="BE58" s="17"/>
      <c r="BF58" s="16"/>
      <c r="BG58" s="17"/>
      <c r="BH58" s="17"/>
      <c r="BI58" s="17"/>
      <c r="BJ58" s="17"/>
      <c r="BK58" s="17"/>
      <c r="BL58" s="17"/>
      <c r="BM58" s="17"/>
      <c r="BN58" s="16"/>
      <c r="BO58" s="17"/>
      <c r="BP58" s="17"/>
      <c r="BQ58" s="17"/>
      <c r="BR58" s="17"/>
      <c r="BS58" s="16"/>
      <c r="BT58" s="17"/>
      <c r="BU58" s="17"/>
      <c r="BV58" s="17"/>
      <c r="BW58" s="17"/>
      <c r="BX58" s="16"/>
      <c r="BY58" s="16"/>
      <c r="BZ58" s="17"/>
      <c r="CA58" s="17"/>
      <c r="CB58" s="17"/>
      <c r="CC58" s="17"/>
      <c r="CD58" s="16"/>
      <c r="CE58" s="17"/>
      <c r="CF58" s="17"/>
      <c r="CG58" s="17"/>
      <c r="CH58" s="17"/>
      <c r="CI58" s="16"/>
      <c r="CJ58" s="17"/>
      <c r="CK58" s="17"/>
      <c r="CL58" s="17"/>
      <c r="CM58" s="17"/>
      <c r="CN58" s="17"/>
      <c r="CO58" s="17"/>
      <c r="CP58" s="17"/>
      <c r="CQ58" s="16"/>
      <c r="CR58" s="17"/>
      <c r="CS58" s="17"/>
      <c r="CT58" s="17"/>
      <c r="CU58" s="17"/>
      <c r="CV58" s="17"/>
      <c r="CW58" s="16"/>
      <c r="CX58" s="17"/>
      <c r="CY58" s="16"/>
      <c r="CZ58" s="17"/>
      <c r="DA58" s="17"/>
      <c r="DB58" s="17"/>
      <c r="DC58" s="17"/>
      <c r="DD58" s="17"/>
    </row>
    <row r="59" spans="1:108" ht="18" customHeight="1">
      <c r="A59" s="7"/>
      <c r="B59" s="17"/>
      <c r="C59" s="17"/>
      <c r="D59" s="17"/>
      <c r="E59" s="14"/>
      <c r="F59" s="7"/>
      <c r="G59" s="14"/>
      <c r="H59" s="14"/>
      <c r="I59" s="14"/>
      <c r="J59" s="14"/>
      <c r="K59" s="14"/>
      <c r="L59" s="14"/>
      <c r="M59" s="14"/>
      <c r="N59" s="14"/>
      <c r="O59" s="14"/>
      <c r="P59" s="14"/>
      <c r="Q59" s="14"/>
      <c r="R59" s="14"/>
      <c r="S59" s="14"/>
      <c r="T59" s="14"/>
      <c r="U59" s="14"/>
      <c r="V59" s="14"/>
      <c r="W59" s="14"/>
      <c r="X59" s="14"/>
      <c r="Y59" s="14"/>
      <c r="Z59" s="14"/>
      <c r="AA59" s="9"/>
      <c r="AB59" s="9"/>
      <c r="AC59" s="9"/>
      <c r="AD59" s="7"/>
      <c r="AE59" s="7"/>
      <c r="AF59" s="12"/>
      <c r="AG59" s="12"/>
      <c r="AH59" s="12"/>
      <c r="AI59" s="7"/>
      <c r="AJ59" s="7"/>
      <c r="AK59" s="17"/>
      <c r="AL59" s="17"/>
      <c r="AM59" s="17"/>
      <c r="AN59" s="17"/>
      <c r="AO59" s="16"/>
      <c r="AP59" s="17"/>
      <c r="AQ59" s="17"/>
      <c r="AR59" s="17"/>
      <c r="AS59" s="17"/>
      <c r="AT59" s="17"/>
      <c r="AU59" s="16"/>
      <c r="AV59" s="17"/>
      <c r="AW59" s="17"/>
      <c r="AX59" s="17"/>
      <c r="AY59" s="17"/>
      <c r="AZ59" s="17"/>
      <c r="BA59" s="17"/>
      <c r="BB59" s="16"/>
      <c r="BC59" s="17"/>
      <c r="BD59" s="17"/>
      <c r="BE59" s="17"/>
      <c r="BF59" s="16"/>
      <c r="BG59" s="17"/>
      <c r="BH59" s="17"/>
      <c r="BI59" s="17"/>
      <c r="BJ59" s="17"/>
      <c r="BK59" s="17"/>
      <c r="BL59" s="17"/>
      <c r="BM59" s="17"/>
      <c r="BN59" s="16"/>
      <c r="BO59" s="17"/>
      <c r="BP59" s="17"/>
      <c r="BQ59" s="17"/>
      <c r="BR59" s="17"/>
      <c r="BS59" s="16"/>
      <c r="BT59" s="17"/>
      <c r="BU59" s="17"/>
      <c r="BV59" s="17"/>
      <c r="BW59" s="17"/>
      <c r="BX59" s="16"/>
      <c r="BY59" s="16"/>
      <c r="BZ59" s="17"/>
      <c r="CA59" s="17"/>
      <c r="CB59" s="17"/>
      <c r="CC59" s="17"/>
      <c r="CD59" s="16"/>
      <c r="CE59" s="17"/>
      <c r="CF59" s="17"/>
      <c r="CG59" s="17"/>
      <c r="CH59" s="17"/>
      <c r="CI59" s="16"/>
      <c r="CJ59" s="17"/>
      <c r="CK59" s="17"/>
      <c r="CL59" s="17"/>
      <c r="CM59" s="17"/>
      <c r="CN59" s="17"/>
      <c r="CO59" s="17"/>
      <c r="CP59" s="17"/>
      <c r="CQ59" s="16"/>
      <c r="CR59" s="17"/>
      <c r="CS59" s="17"/>
      <c r="CT59" s="17"/>
      <c r="CU59" s="17"/>
      <c r="CV59" s="17"/>
      <c r="CW59" s="16"/>
      <c r="CX59" s="17"/>
      <c r="CY59" s="16"/>
      <c r="CZ59" s="17"/>
      <c r="DA59" s="17"/>
      <c r="DB59" s="17"/>
      <c r="DC59" s="17"/>
      <c r="DD59" s="17"/>
    </row>
    <row r="60" spans="1:108" ht="18" customHeight="1">
      <c r="A60" s="7"/>
      <c r="B60" s="17"/>
      <c r="C60" s="17"/>
      <c r="D60" s="17"/>
      <c r="E60" s="14"/>
      <c r="F60" s="7"/>
      <c r="G60" s="14"/>
      <c r="H60" s="14"/>
      <c r="I60" s="14"/>
      <c r="J60" s="14"/>
      <c r="K60" s="14"/>
      <c r="L60" s="14"/>
      <c r="M60" s="14"/>
      <c r="N60" s="14"/>
      <c r="O60" s="14"/>
      <c r="P60" s="14"/>
      <c r="Q60" s="14"/>
      <c r="R60" s="14"/>
      <c r="S60" s="14"/>
      <c r="T60" s="14"/>
      <c r="U60" s="14"/>
      <c r="V60" s="14"/>
      <c r="W60" s="14"/>
      <c r="X60" s="14"/>
      <c r="Y60" s="14"/>
      <c r="Z60" s="14"/>
      <c r="AA60" s="9"/>
      <c r="AB60" s="9"/>
      <c r="AC60" s="9"/>
      <c r="AD60" s="7"/>
      <c r="AE60" s="7"/>
      <c r="AF60" s="12"/>
      <c r="AG60" s="12"/>
      <c r="AH60" s="12"/>
      <c r="AI60" s="7"/>
      <c r="AJ60" s="7"/>
      <c r="AK60" s="17"/>
      <c r="AL60" s="17"/>
      <c r="AM60" s="17"/>
      <c r="AN60" s="17"/>
      <c r="AO60" s="16"/>
      <c r="AP60" s="17"/>
      <c r="AQ60" s="17"/>
      <c r="AR60" s="17"/>
      <c r="AS60" s="17"/>
      <c r="AT60" s="17"/>
      <c r="AU60" s="16"/>
      <c r="AV60" s="17"/>
      <c r="AW60" s="17"/>
      <c r="AX60" s="17"/>
      <c r="AY60" s="17"/>
      <c r="AZ60" s="17"/>
      <c r="BA60" s="17"/>
      <c r="BB60" s="16"/>
      <c r="BC60" s="17"/>
      <c r="BD60" s="17"/>
      <c r="BE60" s="17"/>
      <c r="BF60" s="16"/>
      <c r="BG60" s="17"/>
      <c r="BH60" s="17"/>
      <c r="BI60" s="17"/>
      <c r="BJ60" s="17"/>
      <c r="BK60" s="17"/>
      <c r="BL60" s="17"/>
      <c r="BM60" s="17"/>
      <c r="BN60" s="16"/>
      <c r="BO60" s="17"/>
      <c r="BP60" s="17"/>
      <c r="BQ60" s="17"/>
      <c r="BR60" s="17"/>
      <c r="BS60" s="16"/>
      <c r="BT60" s="17"/>
      <c r="BU60" s="17"/>
      <c r="BV60" s="17"/>
      <c r="BW60" s="17"/>
      <c r="BX60" s="16"/>
      <c r="BY60" s="16"/>
      <c r="BZ60" s="17"/>
      <c r="CA60" s="17"/>
      <c r="CB60" s="17"/>
      <c r="CC60" s="17"/>
      <c r="CD60" s="16"/>
      <c r="CE60" s="17"/>
      <c r="CF60" s="17"/>
      <c r="CG60" s="17"/>
      <c r="CH60" s="17"/>
      <c r="CI60" s="16"/>
      <c r="CJ60" s="17"/>
      <c r="CK60" s="17"/>
      <c r="CL60" s="17"/>
      <c r="CM60" s="17"/>
      <c r="CN60" s="17"/>
      <c r="CO60" s="17"/>
      <c r="CP60" s="17"/>
      <c r="CQ60" s="16"/>
      <c r="CR60" s="17"/>
      <c r="CS60" s="17"/>
      <c r="CT60" s="17"/>
      <c r="CU60" s="17"/>
      <c r="CV60" s="17"/>
      <c r="CW60" s="16"/>
      <c r="CX60" s="17"/>
      <c r="CY60" s="16"/>
      <c r="CZ60" s="17"/>
      <c r="DA60" s="17"/>
      <c r="DB60" s="17"/>
      <c r="DC60" s="17"/>
      <c r="DD60" s="17"/>
    </row>
    <row r="61" spans="1:108" ht="18" customHeight="1">
      <c r="A61" s="7"/>
      <c r="B61" s="17"/>
      <c r="C61" s="17"/>
      <c r="D61" s="17"/>
      <c r="E61" s="14"/>
      <c r="F61" s="7"/>
      <c r="G61" s="14"/>
      <c r="H61" s="14"/>
      <c r="I61" s="14"/>
      <c r="J61" s="14"/>
      <c r="K61" s="14"/>
      <c r="L61" s="14"/>
      <c r="M61" s="14"/>
      <c r="N61" s="14"/>
      <c r="O61" s="14"/>
      <c r="P61" s="14"/>
      <c r="Q61" s="14"/>
      <c r="R61" s="14"/>
      <c r="S61" s="14"/>
      <c r="T61" s="14"/>
      <c r="U61" s="14"/>
      <c r="V61" s="14"/>
      <c r="W61" s="14"/>
      <c r="X61" s="14"/>
      <c r="Y61" s="14"/>
      <c r="Z61" s="14"/>
      <c r="AA61" s="9"/>
      <c r="AB61" s="9"/>
      <c r="AC61" s="9"/>
      <c r="AD61" s="7"/>
      <c r="AE61" s="7"/>
      <c r="AF61" s="12"/>
      <c r="AG61" s="12"/>
      <c r="AH61" s="12"/>
      <c r="AI61" s="7"/>
      <c r="AJ61" s="7"/>
      <c r="AK61" s="17"/>
      <c r="AL61" s="17"/>
      <c r="AM61" s="17"/>
      <c r="AN61" s="17"/>
      <c r="AO61" s="16"/>
      <c r="AP61" s="17"/>
      <c r="AQ61" s="17"/>
      <c r="AR61" s="17"/>
      <c r="AS61" s="17"/>
      <c r="AT61" s="17"/>
      <c r="AU61" s="16"/>
      <c r="AV61" s="17"/>
      <c r="AW61" s="17"/>
      <c r="AX61" s="17"/>
      <c r="AY61" s="17"/>
      <c r="AZ61" s="17"/>
      <c r="BA61" s="17"/>
      <c r="BB61" s="16"/>
      <c r="BC61" s="17"/>
      <c r="BD61" s="17"/>
      <c r="BE61" s="17"/>
      <c r="BF61" s="16"/>
      <c r="BG61" s="17"/>
      <c r="BH61" s="17"/>
      <c r="BI61" s="17"/>
      <c r="BJ61" s="17"/>
      <c r="BK61" s="17"/>
      <c r="BL61" s="17"/>
      <c r="BM61" s="17"/>
      <c r="BN61" s="16"/>
      <c r="BO61" s="17"/>
      <c r="BP61" s="17"/>
      <c r="BQ61" s="17"/>
      <c r="BR61" s="17"/>
      <c r="BS61" s="16"/>
      <c r="BT61" s="17"/>
      <c r="BU61" s="17"/>
      <c r="BV61" s="17"/>
      <c r="BW61" s="17"/>
      <c r="BX61" s="16"/>
      <c r="BY61" s="16"/>
      <c r="BZ61" s="17"/>
      <c r="CA61" s="17"/>
      <c r="CB61" s="17"/>
      <c r="CC61" s="17"/>
      <c r="CD61" s="16"/>
      <c r="CE61" s="17"/>
      <c r="CF61" s="17"/>
      <c r="CG61" s="17"/>
      <c r="CH61" s="17"/>
      <c r="CI61" s="16"/>
      <c r="CJ61" s="17"/>
      <c r="CK61" s="17"/>
      <c r="CL61" s="17"/>
      <c r="CM61" s="17"/>
      <c r="CN61" s="17"/>
      <c r="CO61" s="17"/>
      <c r="CP61" s="17"/>
      <c r="CQ61" s="16"/>
      <c r="CR61" s="17"/>
      <c r="CS61" s="17"/>
      <c r="CT61" s="17"/>
      <c r="CU61" s="17"/>
      <c r="CV61" s="17"/>
      <c r="CW61" s="16"/>
      <c r="CX61" s="17"/>
      <c r="CY61" s="16"/>
      <c r="CZ61" s="17"/>
      <c r="DA61" s="17"/>
      <c r="DB61" s="17"/>
      <c r="DC61" s="17"/>
      <c r="DD61" s="17"/>
    </row>
    <row r="62" spans="1:108" ht="18" customHeight="1">
      <c r="A62" s="7"/>
      <c r="B62" s="17"/>
      <c r="C62" s="17"/>
      <c r="D62" s="17"/>
      <c r="E62" s="14"/>
      <c r="F62" s="7"/>
      <c r="G62" s="14"/>
      <c r="H62" s="14"/>
      <c r="I62" s="14"/>
      <c r="J62" s="14"/>
      <c r="K62" s="14"/>
      <c r="L62" s="14"/>
      <c r="M62" s="14"/>
      <c r="N62" s="14"/>
      <c r="O62" s="14"/>
      <c r="P62" s="14"/>
      <c r="Q62" s="14"/>
      <c r="R62" s="14"/>
      <c r="S62" s="14"/>
      <c r="T62" s="14"/>
      <c r="U62" s="14"/>
      <c r="V62" s="14"/>
      <c r="W62" s="14"/>
      <c r="X62" s="14"/>
      <c r="Y62" s="14"/>
      <c r="Z62" s="14"/>
      <c r="AA62" s="9"/>
      <c r="AB62" s="9"/>
      <c r="AC62" s="9"/>
      <c r="AD62" s="7"/>
      <c r="AE62" s="7"/>
      <c r="AF62" s="12"/>
      <c r="AG62" s="12"/>
      <c r="AH62" s="12"/>
      <c r="AI62" s="7"/>
      <c r="AJ62" s="7"/>
      <c r="AK62" s="17"/>
      <c r="AL62" s="17"/>
      <c r="AM62" s="17"/>
      <c r="AN62" s="17"/>
      <c r="AO62" s="16"/>
      <c r="AP62" s="17"/>
      <c r="AQ62" s="17"/>
      <c r="AR62" s="17"/>
      <c r="AS62" s="17"/>
      <c r="AT62" s="17"/>
      <c r="AU62" s="16"/>
      <c r="AV62" s="17"/>
      <c r="AW62" s="17"/>
      <c r="AX62" s="17"/>
      <c r="AY62" s="17"/>
      <c r="AZ62" s="17"/>
      <c r="BA62" s="17"/>
      <c r="BB62" s="16"/>
      <c r="BC62" s="17"/>
      <c r="BD62" s="17"/>
      <c r="BE62" s="17"/>
      <c r="BF62" s="16"/>
      <c r="BG62" s="17"/>
      <c r="BH62" s="17"/>
      <c r="BI62" s="17"/>
      <c r="BJ62" s="17"/>
      <c r="BK62" s="17"/>
      <c r="BL62" s="17"/>
      <c r="BM62" s="17"/>
      <c r="BN62" s="16"/>
      <c r="BO62" s="17"/>
      <c r="BP62" s="17"/>
      <c r="BQ62" s="17"/>
      <c r="BR62" s="17"/>
      <c r="BS62" s="16"/>
      <c r="BT62" s="17"/>
      <c r="BU62" s="17"/>
      <c r="BV62" s="17"/>
      <c r="BW62" s="17"/>
      <c r="BX62" s="16"/>
      <c r="BY62" s="16"/>
      <c r="BZ62" s="17"/>
      <c r="CA62" s="17"/>
      <c r="CB62" s="17"/>
      <c r="CC62" s="17"/>
      <c r="CD62" s="16"/>
      <c r="CE62" s="17"/>
      <c r="CF62" s="17"/>
      <c r="CG62" s="17"/>
      <c r="CH62" s="17"/>
      <c r="CI62" s="16"/>
      <c r="CJ62" s="17"/>
      <c r="CK62" s="17"/>
      <c r="CL62" s="17"/>
      <c r="CM62" s="17"/>
      <c r="CN62" s="17"/>
      <c r="CO62" s="17"/>
      <c r="CP62" s="17"/>
      <c r="CQ62" s="16"/>
      <c r="CR62" s="17"/>
      <c r="CS62" s="17"/>
      <c r="CT62" s="17"/>
      <c r="CU62" s="17"/>
      <c r="CV62" s="17"/>
      <c r="CW62" s="16"/>
      <c r="CX62" s="17"/>
      <c r="CY62" s="16"/>
      <c r="CZ62" s="17"/>
      <c r="DA62" s="17"/>
      <c r="DB62" s="17"/>
      <c r="DC62" s="17"/>
      <c r="DD62" s="17"/>
    </row>
    <row r="63" spans="1:108" ht="18" customHeight="1">
      <c r="A63" s="7"/>
      <c r="B63" s="17"/>
      <c r="C63" s="17"/>
      <c r="D63" s="17"/>
      <c r="E63" s="14"/>
      <c r="F63" s="7"/>
      <c r="G63" s="14"/>
      <c r="H63" s="14"/>
      <c r="I63" s="14"/>
      <c r="J63" s="14"/>
      <c r="K63" s="14"/>
      <c r="L63" s="14"/>
      <c r="M63" s="14"/>
      <c r="N63" s="14"/>
      <c r="O63" s="14"/>
      <c r="P63" s="14"/>
      <c r="Q63" s="14"/>
      <c r="R63" s="14"/>
      <c r="S63" s="14"/>
      <c r="T63" s="14"/>
      <c r="U63" s="14"/>
      <c r="V63" s="14"/>
      <c r="W63" s="14"/>
      <c r="X63" s="14"/>
      <c r="Y63" s="14"/>
      <c r="Z63" s="14"/>
      <c r="AA63" s="9"/>
      <c r="AB63" s="9"/>
      <c r="AC63" s="9"/>
      <c r="AD63" s="7"/>
      <c r="AE63" s="7"/>
      <c r="AF63" s="12"/>
      <c r="AG63" s="12"/>
      <c r="AH63" s="12"/>
      <c r="AI63" s="7"/>
      <c r="AJ63" s="7"/>
      <c r="AK63" s="17"/>
      <c r="AL63" s="17"/>
      <c r="AM63" s="17"/>
      <c r="AN63" s="17"/>
      <c r="AO63" s="16"/>
      <c r="AP63" s="17"/>
      <c r="AQ63" s="17"/>
      <c r="AR63" s="17"/>
      <c r="AS63" s="17"/>
      <c r="AT63" s="17"/>
      <c r="AU63" s="16"/>
      <c r="AV63" s="17"/>
      <c r="AW63" s="17"/>
      <c r="AX63" s="17"/>
      <c r="AY63" s="17"/>
      <c r="AZ63" s="17"/>
      <c r="BA63" s="17"/>
      <c r="BB63" s="16"/>
      <c r="BC63" s="17"/>
      <c r="BD63" s="17"/>
      <c r="BE63" s="17"/>
      <c r="BF63" s="16"/>
      <c r="BG63" s="17"/>
      <c r="BH63" s="17"/>
      <c r="BI63" s="17"/>
      <c r="BJ63" s="17"/>
      <c r="BK63" s="17"/>
      <c r="BL63" s="17"/>
      <c r="BM63" s="17"/>
      <c r="BN63" s="16"/>
      <c r="BO63" s="17"/>
      <c r="BP63" s="17"/>
      <c r="BQ63" s="17"/>
      <c r="BR63" s="17"/>
      <c r="BS63" s="16"/>
      <c r="BT63" s="17"/>
      <c r="BU63" s="17"/>
      <c r="BV63" s="17"/>
      <c r="BW63" s="17"/>
      <c r="BX63" s="16"/>
      <c r="BY63" s="16"/>
      <c r="BZ63" s="17"/>
      <c r="CA63" s="17"/>
      <c r="CB63" s="17"/>
      <c r="CC63" s="17"/>
      <c r="CD63" s="16"/>
      <c r="CE63" s="17"/>
      <c r="CF63" s="17"/>
      <c r="CG63" s="17"/>
      <c r="CH63" s="17"/>
      <c r="CI63" s="16"/>
      <c r="CJ63" s="17"/>
      <c r="CK63" s="17"/>
      <c r="CL63" s="17"/>
      <c r="CM63" s="17"/>
      <c r="CN63" s="17"/>
      <c r="CO63" s="17"/>
      <c r="CP63" s="17"/>
      <c r="CQ63" s="16"/>
      <c r="CR63" s="17"/>
      <c r="CS63" s="17"/>
      <c r="CT63" s="17"/>
      <c r="CU63" s="17"/>
      <c r="CV63" s="17"/>
      <c r="CW63" s="16"/>
      <c r="CX63" s="17"/>
      <c r="CY63" s="16"/>
      <c r="CZ63" s="17"/>
      <c r="DA63" s="17"/>
      <c r="DB63" s="17"/>
      <c r="DC63" s="17"/>
      <c r="DD63" s="17"/>
    </row>
    <row r="64" spans="1:108" ht="18" customHeight="1">
      <c r="A64" s="7"/>
      <c r="B64" s="17"/>
      <c r="C64" s="17"/>
      <c r="D64" s="17"/>
      <c r="E64" s="14"/>
      <c r="F64" s="7"/>
      <c r="G64" s="14"/>
      <c r="H64" s="14"/>
      <c r="I64" s="14"/>
      <c r="J64" s="14"/>
      <c r="K64" s="14"/>
      <c r="L64" s="14"/>
      <c r="M64" s="14"/>
      <c r="N64" s="14"/>
      <c r="O64" s="14"/>
      <c r="P64" s="14"/>
      <c r="Q64" s="14"/>
      <c r="R64" s="14"/>
      <c r="S64" s="14"/>
      <c r="T64" s="14"/>
      <c r="U64" s="14"/>
      <c r="V64" s="14"/>
      <c r="W64" s="14"/>
      <c r="X64" s="14"/>
      <c r="Y64" s="14"/>
      <c r="Z64" s="14"/>
      <c r="AA64" s="9"/>
      <c r="AB64" s="9"/>
      <c r="AC64" s="9"/>
      <c r="AD64" s="7"/>
      <c r="AE64" s="7"/>
      <c r="AF64" s="12"/>
      <c r="AG64" s="12"/>
      <c r="AH64" s="12"/>
      <c r="AI64" s="7"/>
      <c r="AJ64" s="7"/>
      <c r="AK64" s="17"/>
      <c r="AL64" s="17"/>
      <c r="AM64" s="17"/>
      <c r="AN64" s="17"/>
      <c r="AO64" s="16"/>
      <c r="AP64" s="17"/>
      <c r="AQ64" s="17"/>
      <c r="AR64" s="17"/>
      <c r="AS64" s="17"/>
      <c r="AT64" s="17"/>
      <c r="AU64" s="16"/>
      <c r="AV64" s="17"/>
      <c r="AW64" s="17"/>
      <c r="AX64" s="17"/>
      <c r="AY64" s="17"/>
      <c r="AZ64" s="17"/>
      <c r="BA64" s="17"/>
      <c r="BB64" s="16"/>
      <c r="BC64" s="17"/>
      <c r="BD64" s="17"/>
      <c r="BE64" s="17"/>
      <c r="BF64" s="16"/>
      <c r="BG64" s="17"/>
      <c r="BH64" s="17"/>
      <c r="BI64" s="17"/>
      <c r="BJ64" s="17"/>
      <c r="BK64" s="17"/>
      <c r="BL64" s="17"/>
      <c r="BM64" s="17"/>
      <c r="BN64" s="16"/>
      <c r="BO64" s="17"/>
      <c r="BP64" s="17"/>
      <c r="BQ64" s="17"/>
      <c r="BR64" s="17"/>
      <c r="BS64" s="16"/>
      <c r="BT64" s="17"/>
      <c r="BU64" s="17"/>
      <c r="BV64" s="17"/>
      <c r="BW64" s="17"/>
      <c r="BX64" s="16"/>
      <c r="BY64" s="16"/>
      <c r="BZ64" s="17"/>
      <c r="CA64" s="17"/>
      <c r="CB64" s="17"/>
      <c r="CC64" s="17"/>
      <c r="CD64" s="16"/>
      <c r="CE64" s="17"/>
      <c r="CF64" s="17"/>
      <c r="CG64" s="17"/>
      <c r="CH64" s="17"/>
      <c r="CI64" s="16"/>
      <c r="CJ64" s="17"/>
      <c r="CK64" s="17"/>
      <c r="CL64" s="17"/>
      <c r="CM64" s="17"/>
      <c r="CN64" s="17"/>
      <c r="CO64" s="17"/>
      <c r="CP64" s="17"/>
      <c r="CQ64" s="16"/>
      <c r="CR64" s="17"/>
      <c r="CS64" s="17"/>
      <c r="CT64" s="17"/>
      <c r="CU64" s="17"/>
      <c r="CV64" s="17"/>
      <c r="CW64" s="16"/>
      <c r="CX64" s="17"/>
      <c r="CY64" s="16"/>
      <c r="CZ64" s="17"/>
      <c r="DA64" s="17"/>
      <c r="DB64" s="17"/>
      <c r="DC64" s="17"/>
      <c r="DD64" s="17"/>
    </row>
    <row r="65" spans="1:108" ht="18" customHeight="1">
      <c r="A65" s="7"/>
      <c r="B65" s="17"/>
      <c r="C65" s="17"/>
      <c r="D65" s="17"/>
      <c r="E65" s="14"/>
      <c r="F65" s="7"/>
      <c r="G65" s="14"/>
      <c r="H65" s="14"/>
      <c r="I65" s="14"/>
      <c r="J65" s="14"/>
      <c r="K65" s="14"/>
      <c r="L65" s="14"/>
      <c r="M65" s="14"/>
      <c r="N65" s="14"/>
      <c r="O65" s="14"/>
      <c r="P65" s="14"/>
      <c r="Q65" s="14"/>
      <c r="R65" s="14"/>
      <c r="S65" s="14"/>
      <c r="T65" s="14"/>
      <c r="U65" s="14"/>
      <c r="V65" s="14"/>
      <c r="W65" s="14"/>
      <c r="X65" s="14"/>
      <c r="Y65" s="14"/>
      <c r="Z65" s="14"/>
      <c r="AA65" s="9"/>
      <c r="AB65" s="9"/>
      <c r="AC65" s="9"/>
      <c r="AD65" s="7"/>
      <c r="AE65" s="7"/>
      <c r="AF65" s="12"/>
      <c r="AG65" s="12"/>
      <c r="AH65" s="12"/>
      <c r="AI65" s="7"/>
      <c r="AJ65" s="7"/>
      <c r="AK65" s="17"/>
      <c r="AL65" s="17"/>
      <c r="AM65" s="17"/>
      <c r="AN65" s="17"/>
      <c r="AO65" s="16"/>
      <c r="AP65" s="17"/>
      <c r="AQ65" s="17"/>
      <c r="AR65" s="17"/>
      <c r="AS65" s="17"/>
      <c r="AT65" s="17"/>
      <c r="AU65" s="16"/>
      <c r="AV65" s="17"/>
      <c r="AW65" s="17"/>
      <c r="AX65" s="17"/>
      <c r="AY65" s="17"/>
      <c r="AZ65" s="17"/>
      <c r="BA65" s="17"/>
      <c r="BB65" s="16"/>
      <c r="BC65" s="17"/>
      <c r="BD65" s="17"/>
      <c r="BE65" s="17"/>
      <c r="BF65" s="16"/>
      <c r="BG65" s="17"/>
      <c r="BH65" s="17"/>
      <c r="BI65" s="17"/>
      <c r="BJ65" s="17"/>
      <c r="BK65" s="17"/>
      <c r="BL65" s="17"/>
      <c r="BM65" s="17"/>
      <c r="BN65" s="16"/>
      <c r="BO65" s="17"/>
      <c r="BP65" s="17"/>
      <c r="BQ65" s="17"/>
      <c r="BR65" s="17"/>
      <c r="BS65" s="16"/>
      <c r="BT65" s="17"/>
      <c r="BU65" s="17"/>
      <c r="BV65" s="17"/>
      <c r="BW65" s="17"/>
      <c r="BX65" s="16"/>
      <c r="BY65" s="16"/>
      <c r="BZ65" s="17"/>
      <c r="CA65" s="17"/>
      <c r="CB65" s="17"/>
      <c r="CC65" s="17"/>
      <c r="CD65" s="16"/>
      <c r="CE65" s="17"/>
      <c r="CF65" s="17"/>
      <c r="CG65" s="17"/>
      <c r="CH65" s="17"/>
      <c r="CI65" s="16"/>
      <c r="CJ65" s="17"/>
      <c r="CK65" s="17"/>
      <c r="CL65" s="17"/>
      <c r="CM65" s="17"/>
      <c r="CN65" s="17"/>
      <c r="CO65" s="17"/>
      <c r="CP65" s="17"/>
      <c r="CQ65" s="16"/>
      <c r="CR65" s="17"/>
      <c r="CS65" s="17"/>
      <c r="CT65" s="17"/>
      <c r="CU65" s="17"/>
      <c r="CV65" s="17"/>
      <c r="CW65" s="16"/>
      <c r="CX65" s="17"/>
      <c r="CY65" s="16"/>
      <c r="CZ65" s="17"/>
      <c r="DA65" s="17"/>
      <c r="DB65" s="17"/>
      <c r="DC65" s="17"/>
      <c r="DD65" s="17"/>
    </row>
    <row r="66" spans="1:108" ht="18" customHeight="1">
      <c r="A66" s="7"/>
      <c r="B66" s="17"/>
      <c r="C66" s="17"/>
      <c r="D66" s="17"/>
      <c r="E66" s="14"/>
      <c r="F66" s="7"/>
      <c r="G66" s="14"/>
      <c r="H66" s="14"/>
      <c r="I66" s="14"/>
      <c r="J66" s="14"/>
      <c r="K66" s="14"/>
      <c r="L66" s="14"/>
      <c r="M66" s="14"/>
      <c r="N66" s="14"/>
      <c r="O66" s="14"/>
      <c r="P66" s="14"/>
      <c r="Q66" s="14"/>
      <c r="R66" s="14"/>
      <c r="S66" s="14"/>
      <c r="T66" s="14"/>
      <c r="U66" s="14"/>
      <c r="V66" s="14"/>
      <c r="W66" s="14"/>
      <c r="X66" s="14"/>
      <c r="Y66" s="14"/>
      <c r="Z66" s="14"/>
      <c r="AA66" s="9"/>
      <c r="AB66" s="9"/>
      <c r="AC66" s="9"/>
      <c r="AD66" s="7"/>
      <c r="AE66" s="7"/>
      <c r="AF66" s="12"/>
      <c r="AG66" s="12"/>
      <c r="AH66" s="12"/>
      <c r="AI66" s="7"/>
      <c r="AJ66" s="7"/>
      <c r="AK66" s="17"/>
      <c r="AL66" s="17"/>
      <c r="AM66" s="17"/>
      <c r="AN66" s="17"/>
      <c r="AO66" s="16"/>
      <c r="AP66" s="17"/>
      <c r="AQ66" s="17"/>
      <c r="AR66" s="17"/>
      <c r="AS66" s="17"/>
      <c r="AT66" s="17"/>
      <c r="AU66" s="16"/>
      <c r="AV66" s="17"/>
      <c r="AW66" s="17"/>
      <c r="AX66" s="17"/>
      <c r="AY66" s="17"/>
      <c r="AZ66" s="17"/>
      <c r="BA66" s="17"/>
      <c r="BB66" s="16"/>
      <c r="BC66" s="17"/>
      <c r="BD66" s="17"/>
      <c r="BE66" s="17"/>
      <c r="BF66" s="16"/>
      <c r="BG66" s="17"/>
      <c r="BH66" s="17"/>
      <c r="BI66" s="17"/>
      <c r="BJ66" s="17"/>
      <c r="BK66" s="17"/>
      <c r="BL66" s="17"/>
      <c r="BM66" s="17"/>
      <c r="BN66" s="16"/>
      <c r="BO66" s="17"/>
      <c r="BP66" s="17"/>
      <c r="BQ66" s="17"/>
      <c r="BR66" s="17"/>
      <c r="BS66" s="16"/>
      <c r="BT66" s="17"/>
      <c r="BU66" s="17"/>
      <c r="BV66" s="17"/>
      <c r="BW66" s="17"/>
      <c r="BX66" s="16"/>
      <c r="BY66" s="16"/>
      <c r="BZ66" s="17"/>
      <c r="CA66" s="17"/>
      <c r="CB66" s="17"/>
      <c r="CC66" s="17"/>
      <c r="CD66" s="16"/>
      <c r="CE66" s="17"/>
      <c r="CF66" s="17"/>
      <c r="CG66" s="17"/>
      <c r="CH66" s="17"/>
      <c r="CI66" s="16"/>
      <c r="CJ66" s="17"/>
      <c r="CK66" s="17"/>
      <c r="CL66" s="17"/>
      <c r="CM66" s="17"/>
      <c r="CN66" s="17"/>
      <c r="CO66" s="17"/>
      <c r="CP66" s="17"/>
      <c r="CQ66" s="16"/>
      <c r="CR66" s="17"/>
      <c r="CS66" s="17"/>
      <c r="CT66" s="17"/>
      <c r="CU66" s="17"/>
      <c r="CV66" s="17"/>
      <c r="CW66" s="16"/>
      <c r="CX66" s="17"/>
      <c r="CY66" s="16"/>
      <c r="CZ66" s="17"/>
      <c r="DA66" s="17"/>
      <c r="DB66" s="17"/>
      <c r="DC66" s="17"/>
      <c r="DD66" s="17"/>
    </row>
    <row r="67" spans="1:108" ht="18" customHeight="1">
      <c r="A67" s="7"/>
      <c r="B67" s="17"/>
      <c r="C67" s="17"/>
      <c r="D67" s="17"/>
      <c r="E67" s="14"/>
      <c r="F67" s="7"/>
      <c r="G67" s="14"/>
      <c r="H67" s="14"/>
      <c r="I67" s="14"/>
      <c r="J67" s="14"/>
      <c r="K67" s="14"/>
      <c r="L67" s="14"/>
      <c r="M67" s="14"/>
      <c r="N67" s="14"/>
      <c r="O67" s="14"/>
      <c r="P67" s="14"/>
      <c r="Q67" s="14"/>
      <c r="R67" s="14"/>
      <c r="S67" s="14"/>
      <c r="T67" s="14"/>
      <c r="U67" s="14"/>
      <c r="V67" s="14"/>
      <c r="W67" s="14"/>
      <c r="X67" s="14"/>
      <c r="Y67" s="14"/>
      <c r="Z67" s="14"/>
      <c r="AA67" s="9"/>
      <c r="AB67" s="9"/>
      <c r="AC67" s="9"/>
      <c r="AD67" s="9"/>
      <c r="AE67" s="7"/>
      <c r="AF67" s="12"/>
      <c r="AG67" s="12"/>
      <c r="AH67" s="12"/>
      <c r="AI67" s="7"/>
      <c r="AJ67" s="7"/>
      <c r="AK67" s="17"/>
      <c r="AL67" s="17"/>
      <c r="AM67" s="17"/>
      <c r="AN67" s="17"/>
      <c r="AO67" s="16"/>
      <c r="AP67" s="17"/>
      <c r="AQ67" s="17"/>
      <c r="AR67" s="17"/>
      <c r="AS67" s="17"/>
      <c r="AT67" s="17"/>
      <c r="AU67" s="16"/>
      <c r="AV67" s="17"/>
      <c r="AW67" s="17"/>
      <c r="AX67" s="17"/>
      <c r="AY67" s="17"/>
      <c r="AZ67" s="17"/>
      <c r="BA67" s="17"/>
      <c r="BB67" s="16"/>
      <c r="BC67" s="17"/>
      <c r="BD67" s="17"/>
      <c r="BE67" s="17"/>
      <c r="BF67" s="16"/>
      <c r="BG67" s="17"/>
      <c r="BH67" s="17"/>
      <c r="BI67" s="17"/>
      <c r="BJ67" s="17"/>
      <c r="BK67" s="17"/>
      <c r="BL67" s="17"/>
      <c r="BM67" s="17"/>
      <c r="BN67" s="16"/>
      <c r="BO67" s="17"/>
      <c r="BP67" s="17"/>
      <c r="BQ67" s="17"/>
      <c r="BR67" s="17"/>
      <c r="BS67" s="16"/>
      <c r="BT67" s="17"/>
      <c r="BU67" s="17"/>
      <c r="BV67" s="17"/>
      <c r="BW67" s="17"/>
      <c r="BX67" s="16"/>
      <c r="BY67" s="16"/>
      <c r="BZ67" s="17"/>
      <c r="CA67" s="17"/>
      <c r="CB67" s="17"/>
      <c r="CC67" s="17"/>
      <c r="CD67" s="16"/>
      <c r="CE67" s="17"/>
      <c r="CF67" s="17"/>
      <c r="CG67" s="17"/>
      <c r="CH67" s="17"/>
      <c r="CI67" s="16"/>
      <c r="CJ67" s="17"/>
      <c r="CK67" s="17"/>
      <c r="CL67" s="17"/>
      <c r="CM67" s="17"/>
      <c r="CN67" s="17"/>
      <c r="CO67" s="17"/>
      <c r="CP67" s="17"/>
      <c r="CQ67" s="16"/>
      <c r="CR67" s="17"/>
      <c r="CS67" s="17"/>
      <c r="CT67" s="17"/>
      <c r="CU67" s="17"/>
      <c r="CV67" s="17"/>
      <c r="CW67" s="16"/>
      <c r="CX67" s="17"/>
      <c r="CY67" s="16"/>
      <c r="CZ67" s="17"/>
      <c r="DA67" s="17"/>
      <c r="DB67" s="17"/>
      <c r="DC67" s="17"/>
      <c r="DD67" s="17"/>
    </row>
    <row r="68" spans="1:108" ht="18" customHeight="1">
      <c r="A68" s="7"/>
      <c r="B68" s="17"/>
      <c r="C68" s="17"/>
      <c r="D68" s="17"/>
      <c r="E68" s="14"/>
      <c r="F68" s="7"/>
      <c r="G68" s="14"/>
      <c r="H68" s="14"/>
      <c r="I68" s="14"/>
      <c r="J68" s="14"/>
      <c r="K68" s="14"/>
      <c r="L68" s="14"/>
      <c r="M68" s="14"/>
      <c r="N68" s="14"/>
      <c r="O68" s="14"/>
      <c r="P68" s="14"/>
      <c r="Q68" s="14"/>
      <c r="R68" s="14"/>
      <c r="S68" s="14"/>
      <c r="T68" s="14"/>
      <c r="U68" s="14"/>
      <c r="V68" s="14"/>
      <c r="W68" s="14"/>
      <c r="X68" s="14"/>
      <c r="Y68" s="14"/>
      <c r="Z68" s="14"/>
      <c r="AA68" s="9"/>
      <c r="AB68" s="9"/>
      <c r="AC68" s="9"/>
      <c r="AD68" s="9"/>
      <c r="AE68" s="7"/>
      <c r="AF68" s="12"/>
      <c r="AG68" s="12"/>
      <c r="AH68" s="12"/>
      <c r="AI68" s="7"/>
      <c r="AJ68" s="7"/>
      <c r="AK68" s="17"/>
      <c r="AL68" s="17"/>
      <c r="AM68" s="17"/>
      <c r="AN68" s="17"/>
      <c r="AO68" s="16"/>
      <c r="AP68" s="17"/>
      <c r="AQ68" s="17"/>
      <c r="AR68" s="17"/>
      <c r="AS68" s="17"/>
      <c r="AT68" s="17"/>
      <c r="AU68" s="16"/>
      <c r="AV68" s="17"/>
      <c r="AW68" s="17"/>
      <c r="AX68" s="17"/>
      <c r="AY68" s="17"/>
      <c r="AZ68" s="17"/>
      <c r="BA68" s="17"/>
      <c r="BB68" s="16"/>
      <c r="BC68" s="17"/>
      <c r="BD68" s="17"/>
      <c r="BE68" s="17"/>
      <c r="BF68" s="16"/>
      <c r="BG68" s="17"/>
      <c r="BH68" s="17"/>
      <c r="BI68" s="17"/>
      <c r="BJ68" s="17"/>
      <c r="BK68" s="17"/>
      <c r="BL68" s="17"/>
      <c r="BM68" s="17"/>
      <c r="BN68" s="16"/>
      <c r="BO68" s="17"/>
      <c r="BP68" s="17"/>
      <c r="BQ68" s="17"/>
      <c r="BR68" s="17"/>
      <c r="BS68" s="16"/>
      <c r="BT68" s="17"/>
      <c r="BU68" s="17"/>
      <c r="BV68" s="17"/>
      <c r="BW68" s="17"/>
      <c r="BX68" s="16"/>
      <c r="BY68" s="16"/>
      <c r="BZ68" s="17"/>
      <c r="CA68" s="17"/>
      <c r="CB68" s="17"/>
      <c r="CC68" s="17"/>
      <c r="CD68" s="16"/>
      <c r="CE68" s="17"/>
      <c r="CF68" s="17"/>
      <c r="CG68" s="17"/>
      <c r="CH68" s="17"/>
      <c r="CI68" s="16"/>
      <c r="CJ68" s="17"/>
      <c r="CK68" s="17"/>
      <c r="CL68" s="17"/>
      <c r="CM68" s="17"/>
      <c r="CN68" s="17"/>
      <c r="CO68" s="17"/>
      <c r="CP68" s="17"/>
      <c r="CQ68" s="16"/>
      <c r="CR68" s="17"/>
      <c r="CS68" s="17"/>
      <c r="CT68" s="17"/>
      <c r="CU68" s="17"/>
      <c r="CV68" s="17"/>
      <c r="CW68" s="16"/>
      <c r="CX68" s="17"/>
      <c r="CY68" s="16"/>
      <c r="CZ68" s="17"/>
      <c r="DA68" s="17"/>
      <c r="DB68" s="17"/>
      <c r="DC68" s="17"/>
      <c r="DD68" s="17"/>
    </row>
    <row r="69" spans="1:108" ht="18" customHeight="1">
      <c r="A69" s="7"/>
      <c r="B69" s="17"/>
      <c r="C69" s="17"/>
      <c r="D69" s="17"/>
      <c r="E69" s="14"/>
      <c r="F69" s="7"/>
      <c r="G69" s="14"/>
      <c r="H69" s="14"/>
      <c r="I69" s="14"/>
      <c r="J69" s="14"/>
      <c r="K69" s="14"/>
      <c r="L69" s="14"/>
      <c r="M69" s="14"/>
      <c r="N69" s="14"/>
      <c r="O69" s="14"/>
      <c r="P69" s="14"/>
      <c r="Q69" s="14"/>
      <c r="R69" s="14"/>
      <c r="S69" s="14"/>
      <c r="T69" s="14"/>
      <c r="U69" s="14"/>
      <c r="V69" s="14"/>
      <c r="W69" s="14"/>
      <c r="X69" s="14"/>
      <c r="Y69" s="14"/>
      <c r="Z69" s="14"/>
      <c r="AA69" s="9"/>
      <c r="AB69" s="9"/>
      <c r="AC69" s="9"/>
      <c r="AD69" s="9"/>
      <c r="AE69" s="7"/>
      <c r="AF69" s="12"/>
      <c r="AG69" s="12"/>
      <c r="AH69" s="12"/>
      <c r="AI69" s="7"/>
      <c r="AJ69" s="7"/>
      <c r="AK69" s="17"/>
      <c r="AL69" s="17"/>
      <c r="AM69" s="17"/>
      <c r="AN69" s="17"/>
      <c r="AO69" s="16"/>
      <c r="AP69" s="17"/>
      <c r="AQ69" s="17"/>
      <c r="AR69" s="17"/>
      <c r="AS69" s="17"/>
      <c r="AT69" s="17"/>
      <c r="AU69" s="16"/>
      <c r="AV69" s="17"/>
      <c r="AW69" s="17"/>
      <c r="AX69" s="17"/>
      <c r="AY69" s="17"/>
      <c r="AZ69" s="17"/>
      <c r="BA69" s="17"/>
      <c r="BB69" s="16"/>
      <c r="BC69" s="17"/>
      <c r="BD69" s="17"/>
      <c r="BE69" s="17"/>
      <c r="BF69" s="16"/>
      <c r="BG69" s="17"/>
      <c r="BH69" s="17"/>
      <c r="BI69" s="17"/>
      <c r="BJ69" s="17"/>
      <c r="BK69" s="17"/>
      <c r="BL69" s="17"/>
      <c r="BM69" s="17"/>
      <c r="BN69" s="16"/>
      <c r="BO69" s="17"/>
      <c r="BP69" s="17"/>
      <c r="BQ69" s="17"/>
      <c r="BR69" s="17"/>
      <c r="BS69" s="16"/>
      <c r="BT69" s="17"/>
      <c r="BU69" s="17"/>
      <c r="BV69" s="17"/>
      <c r="BW69" s="17"/>
      <c r="BX69" s="16"/>
      <c r="BY69" s="16"/>
      <c r="BZ69" s="17"/>
      <c r="CA69" s="17"/>
      <c r="CB69" s="17"/>
      <c r="CC69" s="17"/>
      <c r="CD69" s="16"/>
      <c r="CE69" s="17"/>
      <c r="CF69" s="17"/>
      <c r="CG69" s="17"/>
      <c r="CH69" s="17"/>
      <c r="CI69" s="16"/>
      <c r="CJ69" s="17"/>
      <c r="CK69" s="17"/>
      <c r="CL69" s="17"/>
      <c r="CM69" s="17"/>
      <c r="CN69" s="17"/>
      <c r="CO69" s="17"/>
      <c r="CP69" s="17"/>
      <c r="CQ69" s="16"/>
      <c r="CR69" s="17"/>
      <c r="CS69" s="17"/>
      <c r="CT69" s="17"/>
      <c r="CU69" s="17"/>
      <c r="CV69" s="17"/>
      <c r="CW69" s="16"/>
      <c r="CX69" s="17"/>
      <c r="CY69" s="16"/>
      <c r="CZ69" s="17"/>
      <c r="DA69" s="17"/>
      <c r="DB69" s="17"/>
      <c r="DC69" s="17"/>
      <c r="DD69" s="17"/>
    </row>
    <row r="70" spans="1:108" ht="18" customHeight="1">
      <c r="A70" s="7"/>
      <c r="B70" s="17"/>
      <c r="C70" s="17"/>
      <c r="D70" s="17"/>
      <c r="E70" s="14"/>
      <c r="F70" s="7"/>
      <c r="G70" s="14"/>
      <c r="H70" s="14"/>
      <c r="I70" s="14"/>
      <c r="J70" s="14"/>
      <c r="K70" s="14"/>
      <c r="L70" s="14"/>
      <c r="M70" s="14"/>
      <c r="N70" s="14"/>
      <c r="O70" s="14"/>
      <c r="P70" s="14"/>
      <c r="Q70" s="14"/>
      <c r="R70" s="14"/>
      <c r="S70" s="14"/>
      <c r="T70" s="14"/>
      <c r="U70" s="14"/>
      <c r="V70" s="14"/>
      <c r="W70" s="14"/>
      <c r="X70" s="14"/>
      <c r="Y70" s="14"/>
      <c r="Z70" s="14"/>
      <c r="AA70" s="9"/>
      <c r="AB70" s="9"/>
      <c r="AC70" s="9"/>
      <c r="AD70" s="9"/>
      <c r="AE70" s="7"/>
      <c r="AF70" s="12"/>
      <c r="AG70" s="12"/>
      <c r="AH70" s="12"/>
      <c r="AI70" s="7"/>
      <c r="AJ70" s="7"/>
      <c r="AK70" s="17"/>
      <c r="AL70" s="17"/>
      <c r="AM70" s="17"/>
      <c r="AN70" s="17"/>
      <c r="AO70" s="16"/>
      <c r="AP70" s="17"/>
      <c r="AQ70" s="17"/>
      <c r="AR70" s="17"/>
      <c r="AS70" s="17"/>
      <c r="AT70" s="17"/>
      <c r="AU70" s="16"/>
      <c r="AV70" s="17"/>
      <c r="AW70" s="17"/>
      <c r="AX70" s="17"/>
      <c r="AY70" s="17"/>
      <c r="AZ70" s="17"/>
      <c r="BA70" s="17"/>
      <c r="BB70" s="16"/>
      <c r="BC70" s="17"/>
      <c r="BD70" s="17"/>
      <c r="BE70" s="17"/>
      <c r="BF70" s="16"/>
      <c r="BG70" s="17"/>
      <c r="BH70" s="17"/>
      <c r="BI70" s="17"/>
      <c r="BJ70" s="17"/>
      <c r="BK70" s="17"/>
      <c r="BL70" s="17"/>
      <c r="BM70" s="17"/>
      <c r="BN70" s="16"/>
      <c r="BO70" s="17"/>
      <c r="BP70" s="17"/>
      <c r="BQ70" s="17"/>
      <c r="BR70" s="17"/>
      <c r="BS70" s="16"/>
      <c r="BT70" s="17"/>
      <c r="BU70" s="17"/>
      <c r="BV70" s="17"/>
      <c r="BW70" s="17"/>
      <c r="BX70" s="16"/>
      <c r="BY70" s="16"/>
      <c r="BZ70" s="17"/>
      <c r="CA70" s="17"/>
      <c r="CB70" s="17"/>
      <c r="CC70" s="17"/>
      <c r="CD70" s="16"/>
      <c r="CE70" s="17"/>
      <c r="CF70" s="17"/>
      <c r="CG70" s="17"/>
      <c r="CH70" s="17"/>
      <c r="CI70" s="16"/>
      <c r="CJ70" s="17"/>
      <c r="CK70" s="17"/>
      <c r="CL70" s="17"/>
      <c r="CM70" s="17"/>
      <c r="CN70" s="17"/>
      <c r="CO70" s="17"/>
      <c r="CP70" s="17"/>
      <c r="CQ70" s="16"/>
      <c r="CR70" s="17"/>
      <c r="CS70" s="17"/>
      <c r="CT70" s="17"/>
      <c r="CU70" s="17"/>
      <c r="CV70" s="17"/>
      <c r="CW70" s="16"/>
      <c r="CX70" s="17"/>
      <c r="CY70" s="16"/>
      <c r="CZ70" s="17"/>
      <c r="DA70" s="17"/>
      <c r="DB70" s="17"/>
      <c r="DC70" s="17"/>
      <c r="DD70" s="17"/>
    </row>
    <row r="71" spans="1:108" ht="18" customHeight="1">
      <c r="A71" s="7"/>
      <c r="B71" s="17"/>
      <c r="C71" s="17"/>
      <c r="D71" s="17"/>
      <c r="E71" s="14"/>
      <c r="F71" s="7"/>
      <c r="G71" s="14"/>
      <c r="H71" s="14"/>
      <c r="I71" s="14"/>
      <c r="J71" s="14"/>
      <c r="K71" s="14"/>
      <c r="L71" s="14"/>
      <c r="M71" s="14"/>
      <c r="N71" s="14"/>
      <c r="O71" s="14"/>
      <c r="P71" s="14"/>
      <c r="Q71" s="14"/>
      <c r="R71" s="14"/>
      <c r="S71" s="14"/>
      <c r="T71" s="14"/>
      <c r="U71" s="14"/>
      <c r="V71" s="14"/>
      <c r="W71" s="14"/>
      <c r="X71" s="14"/>
      <c r="Y71" s="14"/>
      <c r="Z71" s="14"/>
      <c r="AA71" s="9"/>
      <c r="AB71" s="9"/>
      <c r="AC71" s="9"/>
      <c r="AD71" s="9"/>
      <c r="AE71" s="7"/>
      <c r="AF71" s="12"/>
      <c r="AG71" s="12"/>
      <c r="AH71" s="12"/>
      <c r="AI71" s="7"/>
      <c r="AJ71" s="7"/>
      <c r="AK71" s="17"/>
      <c r="AL71" s="17"/>
      <c r="AM71" s="17"/>
      <c r="AN71" s="17"/>
      <c r="AO71" s="16"/>
      <c r="AP71" s="17"/>
      <c r="AQ71" s="17"/>
      <c r="AR71" s="17"/>
      <c r="AS71" s="17"/>
      <c r="AT71" s="17"/>
      <c r="AU71" s="16"/>
      <c r="AV71" s="17"/>
      <c r="AW71" s="17"/>
      <c r="AX71" s="17"/>
      <c r="AY71" s="17"/>
      <c r="AZ71" s="17"/>
      <c r="BA71" s="17"/>
      <c r="BB71" s="16"/>
      <c r="BC71" s="17"/>
      <c r="BD71" s="17"/>
      <c r="BE71" s="17"/>
      <c r="BF71" s="16"/>
      <c r="BG71" s="17"/>
      <c r="BH71" s="17"/>
      <c r="BI71" s="17"/>
      <c r="BJ71" s="17"/>
      <c r="BK71" s="17"/>
      <c r="BL71" s="17"/>
      <c r="BM71" s="17"/>
      <c r="BN71" s="16"/>
      <c r="BO71" s="17"/>
      <c r="BP71" s="17"/>
      <c r="BQ71" s="17"/>
      <c r="BR71" s="17"/>
      <c r="BS71" s="16"/>
      <c r="BT71" s="17"/>
      <c r="BU71" s="17"/>
      <c r="BV71" s="17"/>
      <c r="BW71" s="17"/>
      <c r="BX71" s="16"/>
      <c r="BY71" s="16"/>
      <c r="BZ71" s="17"/>
      <c r="CA71" s="17"/>
      <c r="CB71" s="17"/>
      <c r="CC71" s="17"/>
      <c r="CD71" s="16"/>
      <c r="CE71" s="17"/>
      <c r="CF71" s="17"/>
      <c r="CG71" s="17"/>
      <c r="CH71" s="17"/>
      <c r="CI71" s="16"/>
      <c r="CJ71" s="17"/>
      <c r="CK71" s="17"/>
      <c r="CL71" s="17"/>
      <c r="CM71" s="17"/>
      <c r="CN71" s="17"/>
      <c r="CO71" s="17"/>
      <c r="CP71" s="17"/>
      <c r="CQ71" s="16"/>
      <c r="CR71" s="17"/>
      <c r="CS71" s="17"/>
      <c r="CT71" s="17"/>
      <c r="CU71" s="17"/>
      <c r="CV71" s="17"/>
      <c r="CW71" s="16"/>
      <c r="CX71" s="17"/>
      <c r="CY71" s="16"/>
      <c r="CZ71" s="17"/>
      <c r="DA71" s="17"/>
      <c r="DB71" s="17"/>
      <c r="DC71" s="17"/>
      <c r="DD71" s="17"/>
    </row>
    <row r="72" spans="1:108" ht="18" customHeight="1">
      <c r="A72" s="7"/>
      <c r="B72" s="17"/>
      <c r="C72" s="17"/>
      <c r="D72" s="17"/>
      <c r="E72" s="14"/>
      <c r="F72" s="7"/>
      <c r="G72" s="14"/>
      <c r="H72" s="14"/>
      <c r="I72" s="14"/>
      <c r="J72" s="14"/>
      <c r="K72" s="14"/>
      <c r="L72" s="14"/>
      <c r="M72" s="14"/>
      <c r="N72" s="14"/>
      <c r="O72" s="14"/>
      <c r="P72" s="14"/>
      <c r="Q72" s="14"/>
      <c r="R72" s="14"/>
      <c r="S72" s="14"/>
      <c r="T72" s="14"/>
      <c r="U72" s="14"/>
      <c r="V72" s="14"/>
      <c r="W72" s="14"/>
      <c r="X72" s="14"/>
      <c r="Y72" s="14"/>
      <c r="Z72" s="14"/>
      <c r="AA72" s="9"/>
      <c r="AB72" s="9"/>
      <c r="AC72" s="9"/>
      <c r="AD72" s="9"/>
      <c r="AE72" s="7"/>
      <c r="AF72" s="12"/>
      <c r="AG72" s="12"/>
      <c r="AH72" s="12"/>
      <c r="AI72" s="7"/>
      <c r="AJ72" s="7"/>
      <c r="AK72" s="17"/>
      <c r="AL72" s="17"/>
      <c r="AM72" s="17"/>
      <c r="AN72" s="17"/>
      <c r="AO72" s="16"/>
      <c r="AP72" s="17"/>
      <c r="AQ72" s="17"/>
      <c r="AR72" s="17"/>
      <c r="AS72" s="17"/>
      <c r="AT72" s="17"/>
      <c r="AU72" s="16"/>
      <c r="AV72" s="17"/>
      <c r="AW72" s="17"/>
      <c r="AX72" s="17"/>
      <c r="AY72" s="17"/>
      <c r="AZ72" s="17"/>
      <c r="BA72" s="17"/>
      <c r="BB72" s="16"/>
      <c r="BC72" s="17"/>
      <c r="BD72" s="17"/>
      <c r="BE72" s="17"/>
      <c r="BF72" s="16"/>
      <c r="BG72" s="17"/>
      <c r="BH72" s="17"/>
      <c r="BI72" s="17"/>
      <c r="BJ72" s="17"/>
      <c r="BK72" s="17"/>
      <c r="BL72" s="17"/>
      <c r="BM72" s="17"/>
      <c r="BN72" s="16"/>
      <c r="BO72" s="17"/>
      <c r="BP72" s="17"/>
      <c r="BQ72" s="17"/>
      <c r="BR72" s="17"/>
      <c r="BS72" s="16"/>
      <c r="BT72" s="17"/>
      <c r="BU72" s="17"/>
      <c r="BV72" s="17"/>
      <c r="BW72" s="17"/>
      <c r="BX72" s="16"/>
      <c r="BY72" s="16"/>
      <c r="BZ72" s="17"/>
      <c r="CA72" s="17"/>
      <c r="CB72" s="17"/>
      <c r="CC72" s="17"/>
      <c r="CD72" s="16"/>
      <c r="CE72" s="17"/>
      <c r="CF72" s="17"/>
      <c r="CG72" s="17"/>
      <c r="CH72" s="17"/>
      <c r="CI72" s="16"/>
      <c r="CJ72" s="17"/>
      <c r="CK72" s="17"/>
      <c r="CL72" s="17"/>
      <c r="CM72" s="17"/>
      <c r="CN72" s="17"/>
      <c r="CO72" s="17"/>
      <c r="CP72" s="17"/>
      <c r="CQ72" s="16"/>
      <c r="CR72" s="17"/>
      <c r="CS72" s="17"/>
      <c r="CT72" s="17"/>
      <c r="CU72" s="17"/>
      <c r="CV72" s="17"/>
      <c r="CW72" s="16"/>
      <c r="CX72" s="17"/>
      <c r="CY72" s="16"/>
      <c r="CZ72" s="17"/>
      <c r="DA72" s="17"/>
      <c r="DB72" s="17"/>
      <c r="DC72" s="17"/>
      <c r="DD72" s="17"/>
    </row>
    <row r="73" spans="1:108" ht="15" customHeight="1">
      <c r="A73" s="7"/>
      <c r="B73" s="17"/>
      <c r="C73" s="17"/>
      <c r="D73" s="17"/>
      <c r="E73" s="14"/>
      <c r="F73" s="7"/>
      <c r="G73" s="14"/>
      <c r="H73" s="14"/>
      <c r="I73" s="14"/>
      <c r="J73" s="14"/>
      <c r="K73" s="14"/>
      <c r="L73" s="14"/>
      <c r="M73" s="14"/>
      <c r="N73" s="14"/>
      <c r="O73" s="14"/>
      <c r="P73" s="14"/>
      <c r="Q73" s="14"/>
      <c r="R73" s="14"/>
      <c r="S73" s="14"/>
      <c r="T73" s="14"/>
      <c r="U73" s="14"/>
      <c r="V73" s="14"/>
      <c r="W73" s="14"/>
      <c r="X73" s="14"/>
      <c r="Y73" s="14"/>
      <c r="Z73" s="14"/>
      <c r="AA73" s="9"/>
      <c r="AB73" s="9"/>
      <c r="AC73" s="9"/>
      <c r="AD73" s="9"/>
      <c r="AE73" s="7"/>
      <c r="AF73" s="12"/>
      <c r="AG73" s="12"/>
      <c r="AH73" s="12"/>
      <c r="AI73" s="7"/>
      <c r="AJ73" s="7"/>
      <c r="AK73" s="17"/>
      <c r="AL73" s="17"/>
      <c r="AM73" s="17"/>
      <c r="AN73" s="17"/>
      <c r="AO73" s="16"/>
      <c r="AP73" s="17"/>
      <c r="AQ73" s="17"/>
      <c r="AR73" s="17"/>
      <c r="AS73" s="17"/>
      <c r="AT73" s="17"/>
      <c r="AU73" s="16"/>
      <c r="AV73" s="17"/>
      <c r="AW73" s="17"/>
      <c r="AX73" s="17"/>
      <c r="AY73" s="17"/>
      <c r="AZ73" s="17"/>
      <c r="BA73" s="17"/>
      <c r="BB73" s="16"/>
      <c r="BC73" s="17"/>
      <c r="BD73" s="17"/>
      <c r="BE73" s="17"/>
      <c r="BF73" s="16"/>
      <c r="BG73" s="17"/>
      <c r="BH73" s="17"/>
      <c r="BI73" s="17"/>
      <c r="BJ73" s="17"/>
      <c r="BK73" s="17"/>
      <c r="BL73" s="17"/>
      <c r="BM73" s="17"/>
      <c r="BN73" s="16"/>
      <c r="BO73" s="17"/>
      <c r="BP73" s="17"/>
      <c r="BQ73" s="17"/>
      <c r="BR73" s="17"/>
      <c r="BS73" s="16"/>
      <c r="BT73" s="17"/>
      <c r="BU73" s="17"/>
      <c r="BV73" s="17"/>
      <c r="BW73" s="17"/>
      <c r="BX73" s="16"/>
      <c r="BY73" s="16"/>
      <c r="BZ73" s="17"/>
      <c r="CA73" s="17"/>
      <c r="CB73" s="17"/>
      <c r="CC73" s="17"/>
      <c r="CD73" s="16"/>
      <c r="CE73" s="17"/>
      <c r="CF73" s="17"/>
      <c r="CG73" s="17"/>
      <c r="CH73" s="17"/>
      <c r="CI73" s="16"/>
      <c r="CJ73" s="17"/>
      <c r="CK73" s="17"/>
      <c r="CL73" s="17"/>
      <c r="CM73" s="17"/>
      <c r="CN73" s="17"/>
      <c r="CO73" s="17"/>
      <c r="CP73" s="17"/>
      <c r="CQ73" s="16"/>
      <c r="CR73" s="17"/>
      <c r="CS73" s="17"/>
      <c r="CT73" s="17"/>
      <c r="CU73" s="17"/>
      <c r="CV73" s="17"/>
      <c r="CW73" s="16"/>
      <c r="CX73" s="17"/>
      <c r="CY73" s="16"/>
      <c r="CZ73" s="17"/>
      <c r="DA73" s="17"/>
      <c r="DB73" s="17"/>
      <c r="DC73" s="17"/>
      <c r="DD73" s="17"/>
    </row>
    <row r="74" spans="1:108" ht="15" customHeight="1">
      <c r="A74" s="7"/>
      <c r="B74" s="17"/>
      <c r="C74" s="17"/>
      <c r="D74" s="17"/>
      <c r="E74" s="14"/>
      <c r="F74" s="7"/>
      <c r="G74" s="14"/>
      <c r="H74" s="14"/>
      <c r="I74" s="14"/>
      <c r="J74" s="14"/>
      <c r="K74" s="14"/>
      <c r="L74" s="14"/>
      <c r="M74" s="14"/>
      <c r="N74" s="14"/>
      <c r="O74" s="14"/>
      <c r="P74" s="14"/>
      <c r="Q74" s="14"/>
      <c r="R74" s="14"/>
      <c r="S74" s="14"/>
      <c r="T74" s="14"/>
      <c r="U74" s="14"/>
      <c r="V74" s="14"/>
      <c r="W74" s="14"/>
      <c r="X74" s="14"/>
      <c r="Y74" s="14"/>
      <c r="Z74" s="14"/>
      <c r="AA74" s="9"/>
      <c r="AB74" s="9"/>
      <c r="AC74" s="9"/>
      <c r="AD74" s="9"/>
      <c r="AE74" s="7"/>
      <c r="AF74" s="12"/>
      <c r="AG74" s="12"/>
      <c r="AH74" s="12"/>
      <c r="AI74" s="7"/>
      <c r="AJ74" s="7"/>
      <c r="AK74" s="17"/>
      <c r="AL74" s="17"/>
      <c r="AM74" s="17"/>
      <c r="AN74" s="17"/>
      <c r="AO74" s="16"/>
      <c r="AP74" s="17"/>
      <c r="AQ74" s="17"/>
      <c r="AR74" s="17"/>
      <c r="AS74" s="17"/>
      <c r="AT74" s="17"/>
      <c r="AU74" s="16"/>
      <c r="AV74" s="17"/>
      <c r="AW74" s="17"/>
      <c r="AX74" s="17"/>
      <c r="AY74" s="17"/>
      <c r="AZ74" s="17"/>
      <c r="BA74" s="17"/>
      <c r="BB74" s="16"/>
      <c r="BC74" s="17"/>
      <c r="BD74" s="17"/>
      <c r="BE74" s="17"/>
      <c r="BF74" s="16"/>
      <c r="BG74" s="17"/>
      <c r="BH74" s="17"/>
      <c r="BI74" s="17"/>
      <c r="BJ74" s="17"/>
      <c r="BK74" s="17"/>
      <c r="BL74" s="17"/>
      <c r="BM74" s="17"/>
      <c r="BN74" s="16"/>
      <c r="BO74" s="17"/>
      <c r="BP74" s="17"/>
      <c r="BQ74" s="17"/>
      <c r="BR74" s="17"/>
      <c r="BS74" s="16"/>
      <c r="BT74" s="17"/>
      <c r="BU74" s="17"/>
      <c r="BV74" s="17"/>
      <c r="BW74" s="17"/>
      <c r="BX74" s="16"/>
      <c r="BY74" s="16"/>
      <c r="BZ74" s="17"/>
      <c r="CA74" s="17"/>
      <c r="CB74" s="17"/>
      <c r="CC74" s="17"/>
      <c r="CD74" s="16"/>
      <c r="CE74" s="17"/>
      <c r="CF74" s="17"/>
      <c r="CG74" s="17"/>
      <c r="CH74" s="17"/>
      <c r="CI74" s="16"/>
      <c r="CJ74" s="17"/>
      <c r="CK74" s="17"/>
      <c r="CL74" s="17"/>
      <c r="CM74" s="17"/>
      <c r="CN74" s="17"/>
      <c r="CO74" s="17"/>
      <c r="CP74" s="17"/>
      <c r="CQ74" s="16"/>
      <c r="CR74" s="17"/>
      <c r="CS74" s="17"/>
      <c r="CT74" s="17"/>
      <c r="CU74" s="17"/>
      <c r="CV74" s="17"/>
      <c r="CW74" s="16"/>
      <c r="CX74" s="17"/>
      <c r="CY74" s="16"/>
      <c r="CZ74" s="17"/>
      <c r="DA74" s="17"/>
      <c r="DB74" s="17"/>
      <c r="DC74" s="17"/>
      <c r="DD74" s="17"/>
    </row>
    <row r="75" spans="1:108" ht="15" customHeight="1">
      <c r="A75" s="7"/>
      <c r="B75" s="17"/>
      <c r="C75" s="17"/>
      <c r="D75" s="17"/>
      <c r="E75" s="14"/>
      <c r="F75" s="7"/>
      <c r="G75" s="14"/>
      <c r="H75" s="14"/>
      <c r="I75" s="14"/>
      <c r="J75" s="14"/>
      <c r="K75" s="14"/>
      <c r="L75" s="14"/>
      <c r="M75" s="14"/>
      <c r="N75" s="14"/>
      <c r="O75" s="14"/>
      <c r="P75" s="14"/>
      <c r="Q75" s="14"/>
      <c r="R75" s="14"/>
      <c r="S75" s="14"/>
      <c r="T75" s="14"/>
      <c r="U75" s="14"/>
      <c r="V75" s="14"/>
      <c r="W75" s="14"/>
      <c r="X75" s="14"/>
      <c r="Y75" s="14"/>
      <c r="Z75" s="14"/>
      <c r="AA75" s="9"/>
      <c r="AB75" s="9"/>
      <c r="AC75" s="9"/>
      <c r="AD75" s="9"/>
      <c r="AE75" s="7"/>
      <c r="AF75" s="12"/>
      <c r="AG75" s="12"/>
      <c r="AH75" s="12"/>
      <c r="AI75" s="7"/>
      <c r="AJ75" s="7"/>
      <c r="AK75" s="17"/>
      <c r="AL75" s="17"/>
      <c r="AM75" s="17"/>
      <c r="AN75" s="17"/>
      <c r="AO75" s="16"/>
      <c r="AP75" s="17"/>
      <c r="AQ75" s="17"/>
      <c r="AR75" s="17"/>
      <c r="AS75" s="17"/>
      <c r="AT75" s="17"/>
      <c r="AU75" s="16"/>
      <c r="AV75" s="17"/>
      <c r="AW75" s="17"/>
      <c r="AX75" s="17"/>
      <c r="AY75" s="17"/>
      <c r="AZ75" s="17"/>
      <c r="BA75" s="17"/>
      <c r="BB75" s="16"/>
      <c r="BC75" s="17"/>
      <c r="BD75" s="17"/>
      <c r="BE75" s="17"/>
      <c r="BF75" s="16"/>
      <c r="BG75" s="17"/>
      <c r="BH75" s="17"/>
      <c r="BI75" s="17"/>
      <c r="BJ75" s="17"/>
      <c r="BK75" s="17"/>
      <c r="BL75" s="17"/>
      <c r="BM75" s="17"/>
      <c r="BN75" s="16"/>
      <c r="BO75" s="17"/>
      <c r="BP75" s="17"/>
      <c r="BQ75" s="17"/>
      <c r="BR75" s="17"/>
      <c r="BS75" s="16"/>
      <c r="BT75" s="17"/>
      <c r="BU75" s="17"/>
      <c r="BV75" s="17"/>
      <c r="BW75" s="17"/>
      <c r="BX75" s="16"/>
      <c r="BY75" s="16"/>
      <c r="BZ75" s="17"/>
      <c r="CA75" s="17"/>
      <c r="CB75" s="17"/>
      <c r="CC75" s="17"/>
      <c r="CD75" s="16"/>
      <c r="CE75" s="17"/>
      <c r="CF75" s="17"/>
      <c r="CG75" s="17"/>
      <c r="CH75" s="17"/>
      <c r="CI75" s="16"/>
      <c r="CJ75" s="17"/>
      <c r="CK75" s="17"/>
      <c r="CL75" s="17"/>
      <c r="CM75" s="17"/>
      <c r="CN75" s="17"/>
      <c r="CO75" s="17"/>
      <c r="CP75" s="17"/>
      <c r="CQ75" s="16"/>
      <c r="CR75" s="17"/>
      <c r="CS75" s="17"/>
      <c r="CT75" s="17"/>
      <c r="CU75" s="17"/>
      <c r="CV75" s="17"/>
      <c r="CW75" s="16"/>
      <c r="CX75" s="17"/>
      <c r="CY75" s="16"/>
      <c r="CZ75" s="17"/>
      <c r="DA75" s="17"/>
      <c r="DB75" s="17"/>
      <c r="DC75" s="17"/>
      <c r="DD75" s="17"/>
    </row>
    <row r="76" spans="1:108" ht="15" customHeight="1">
      <c r="A76" s="7"/>
      <c r="B76" s="17"/>
      <c r="C76" s="17"/>
      <c r="D76" s="17"/>
      <c r="E76" s="14"/>
      <c r="F76" s="7"/>
      <c r="G76" s="14"/>
      <c r="H76" s="14"/>
      <c r="I76" s="14"/>
      <c r="J76" s="14"/>
      <c r="K76" s="14"/>
      <c r="L76" s="14"/>
      <c r="M76" s="14"/>
      <c r="N76" s="14"/>
      <c r="O76" s="14"/>
      <c r="P76" s="14"/>
      <c r="Q76" s="14"/>
      <c r="R76" s="14"/>
      <c r="S76" s="14"/>
      <c r="T76" s="14"/>
      <c r="U76" s="14"/>
      <c r="V76" s="14"/>
      <c r="W76" s="14"/>
      <c r="X76" s="14"/>
      <c r="Y76" s="14"/>
      <c r="Z76" s="14"/>
      <c r="AA76" s="9"/>
      <c r="AB76" s="9"/>
      <c r="AC76" s="9"/>
      <c r="AD76" s="9"/>
      <c r="AE76" s="7"/>
      <c r="AF76" s="12"/>
      <c r="AG76" s="12"/>
      <c r="AH76" s="12"/>
      <c r="AI76" s="7"/>
      <c r="AJ76" s="7"/>
      <c r="AK76" s="17"/>
      <c r="AL76" s="17"/>
      <c r="AM76" s="17"/>
      <c r="AN76" s="17"/>
      <c r="AO76" s="16"/>
      <c r="AP76" s="17"/>
      <c r="AQ76" s="17"/>
      <c r="AR76" s="17"/>
      <c r="AS76" s="17"/>
      <c r="AT76" s="17"/>
      <c r="AU76" s="16"/>
      <c r="AV76" s="17"/>
      <c r="AW76" s="17"/>
      <c r="AX76" s="17"/>
      <c r="AY76" s="17"/>
      <c r="AZ76" s="17"/>
      <c r="BA76" s="17"/>
      <c r="BB76" s="16"/>
      <c r="BC76" s="17"/>
      <c r="BD76" s="17"/>
      <c r="BE76" s="17"/>
      <c r="BF76" s="16"/>
      <c r="BG76" s="17"/>
      <c r="BH76" s="17"/>
      <c r="BI76" s="17"/>
      <c r="BJ76" s="17"/>
      <c r="BK76" s="17"/>
      <c r="BL76" s="17"/>
      <c r="BM76" s="17"/>
      <c r="BN76" s="16"/>
      <c r="BO76" s="17"/>
      <c r="BP76" s="17"/>
      <c r="BQ76" s="17"/>
      <c r="BR76" s="17"/>
      <c r="BS76" s="16"/>
      <c r="BT76" s="17"/>
      <c r="BU76" s="17"/>
      <c r="BV76" s="17"/>
      <c r="BW76" s="17"/>
      <c r="BX76" s="16"/>
      <c r="BY76" s="16"/>
      <c r="BZ76" s="17"/>
      <c r="CA76" s="17"/>
      <c r="CB76" s="17"/>
      <c r="CC76" s="17"/>
      <c r="CD76" s="16"/>
      <c r="CE76" s="17"/>
      <c r="CF76" s="17"/>
      <c r="CG76" s="17"/>
      <c r="CH76" s="17"/>
      <c r="CI76" s="16"/>
      <c r="CJ76" s="17"/>
      <c r="CK76" s="17"/>
      <c r="CL76" s="17"/>
      <c r="CM76" s="17"/>
      <c r="CN76" s="17"/>
      <c r="CO76" s="17"/>
      <c r="CP76" s="17"/>
      <c r="CQ76" s="16"/>
      <c r="CR76" s="17"/>
      <c r="CS76" s="17"/>
      <c r="CT76" s="17"/>
      <c r="CU76" s="17"/>
      <c r="CV76" s="17"/>
      <c r="CW76" s="16"/>
      <c r="CX76" s="17"/>
      <c r="CY76" s="16"/>
      <c r="CZ76" s="17"/>
      <c r="DA76" s="17"/>
      <c r="DB76" s="17"/>
      <c r="DC76" s="17"/>
      <c r="DD76" s="17"/>
    </row>
    <row r="77" spans="1:108" ht="15" customHeight="1">
      <c r="A77" s="7"/>
      <c r="B77" s="17"/>
      <c r="C77" s="17"/>
      <c r="D77" s="17"/>
      <c r="E77" s="14"/>
      <c r="F77" s="7"/>
      <c r="G77" s="14"/>
      <c r="H77" s="14"/>
      <c r="I77" s="14"/>
      <c r="J77" s="14"/>
      <c r="K77" s="14"/>
      <c r="L77" s="14"/>
      <c r="M77" s="14"/>
      <c r="N77" s="14"/>
      <c r="O77" s="14"/>
      <c r="P77" s="14"/>
      <c r="Q77" s="14"/>
      <c r="R77" s="14"/>
      <c r="S77" s="14"/>
      <c r="T77" s="14"/>
      <c r="U77" s="14"/>
      <c r="V77" s="14"/>
      <c r="W77" s="14"/>
      <c r="X77" s="14"/>
      <c r="Y77" s="14"/>
      <c r="Z77" s="14"/>
      <c r="AA77" s="9"/>
      <c r="AB77" s="9"/>
      <c r="AC77" s="9"/>
      <c r="AD77" s="9"/>
      <c r="AE77" s="7"/>
      <c r="AF77" s="12"/>
      <c r="AG77" s="12"/>
      <c r="AH77" s="12"/>
      <c r="AI77" s="7"/>
      <c r="AJ77" s="7"/>
      <c r="AK77" s="17"/>
      <c r="AL77" s="17"/>
      <c r="AM77" s="17"/>
      <c r="AN77" s="17"/>
      <c r="AO77" s="16"/>
      <c r="AP77" s="17"/>
      <c r="AQ77" s="17"/>
      <c r="AR77" s="17"/>
      <c r="AS77" s="17"/>
      <c r="AT77" s="17"/>
      <c r="AU77" s="16"/>
      <c r="AV77" s="17"/>
      <c r="AW77" s="17"/>
      <c r="AX77" s="17"/>
      <c r="AY77" s="17"/>
      <c r="AZ77" s="17"/>
      <c r="BA77" s="17"/>
      <c r="BB77" s="16"/>
      <c r="BC77" s="17"/>
      <c r="BD77" s="17"/>
      <c r="BE77" s="17"/>
      <c r="BF77" s="16"/>
      <c r="BG77" s="17"/>
      <c r="BH77" s="17"/>
      <c r="BI77" s="17"/>
      <c r="BJ77" s="17"/>
      <c r="BK77" s="17"/>
      <c r="BL77" s="17"/>
      <c r="BM77" s="17"/>
      <c r="BN77" s="16"/>
      <c r="BO77" s="17"/>
      <c r="BP77" s="17"/>
      <c r="BQ77" s="17"/>
      <c r="BR77" s="17"/>
      <c r="BS77" s="16"/>
      <c r="BT77" s="17"/>
      <c r="BU77" s="17"/>
      <c r="BV77" s="17"/>
      <c r="BW77" s="17"/>
      <c r="BX77" s="16"/>
      <c r="BY77" s="16"/>
      <c r="BZ77" s="17"/>
      <c r="CA77" s="17"/>
      <c r="CB77" s="17"/>
      <c r="CC77" s="17"/>
      <c r="CD77" s="16"/>
      <c r="CE77" s="17"/>
      <c r="CF77" s="17"/>
      <c r="CG77" s="17"/>
      <c r="CH77" s="17"/>
      <c r="CI77" s="16"/>
      <c r="CJ77" s="17"/>
      <c r="CK77" s="17"/>
      <c r="CL77" s="17"/>
      <c r="CM77" s="17"/>
      <c r="CN77" s="17"/>
      <c r="CO77" s="17"/>
      <c r="CP77" s="17"/>
      <c r="CQ77" s="16"/>
      <c r="CR77" s="17"/>
      <c r="CS77" s="17"/>
      <c r="CT77" s="17"/>
      <c r="CU77" s="17"/>
      <c r="CV77" s="17"/>
      <c r="CW77" s="16"/>
      <c r="CX77" s="17"/>
      <c r="CY77" s="16"/>
      <c r="CZ77" s="17"/>
      <c r="DA77" s="17"/>
      <c r="DB77" s="17"/>
      <c r="DC77" s="17"/>
      <c r="DD77" s="17"/>
    </row>
    <row r="78" spans="1:108" ht="15" customHeight="1">
      <c r="A78" s="7"/>
      <c r="B78" s="17"/>
      <c r="C78" s="17"/>
      <c r="D78" s="17"/>
      <c r="E78" s="14"/>
      <c r="F78" s="7"/>
      <c r="G78" s="14"/>
      <c r="H78" s="14"/>
      <c r="I78" s="14"/>
      <c r="J78" s="14"/>
      <c r="K78" s="14"/>
      <c r="L78" s="14"/>
      <c r="M78" s="14"/>
      <c r="N78" s="14"/>
      <c r="O78" s="14"/>
      <c r="P78" s="14"/>
      <c r="Q78" s="14"/>
      <c r="R78" s="14"/>
      <c r="S78" s="14"/>
      <c r="T78" s="14"/>
      <c r="U78" s="14"/>
      <c r="V78" s="14"/>
      <c r="W78" s="14"/>
      <c r="X78" s="14"/>
      <c r="Y78" s="14"/>
      <c r="Z78" s="14"/>
      <c r="AA78" s="9"/>
      <c r="AB78" s="9"/>
      <c r="AC78" s="9"/>
      <c r="AD78" s="9"/>
      <c r="AE78" s="7"/>
      <c r="AF78" s="12"/>
      <c r="AG78" s="12"/>
      <c r="AH78" s="12"/>
      <c r="AI78" s="7"/>
      <c r="AJ78" s="7"/>
      <c r="AK78" s="17"/>
      <c r="AL78" s="17"/>
      <c r="AM78" s="17"/>
      <c r="AN78" s="17"/>
      <c r="AO78" s="16"/>
      <c r="AP78" s="17"/>
      <c r="AQ78" s="17"/>
      <c r="AR78" s="17"/>
      <c r="AS78" s="17"/>
      <c r="AT78" s="17"/>
      <c r="AU78" s="16"/>
      <c r="AV78" s="17"/>
      <c r="AW78" s="17"/>
      <c r="AX78" s="17"/>
      <c r="AY78" s="17"/>
      <c r="AZ78" s="17"/>
      <c r="BA78" s="17"/>
      <c r="BB78" s="16"/>
      <c r="BC78" s="17"/>
      <c r="BD78" s="17"/>
      <c r="BE78" s="17"/>
      <c r="BF78" s="16"/>
      <c r="BG78" s="17"/>
      <c r="BH78" s="17"/>
      <c r="BI78" s="17"/>
      <c r="BJ78" s="17"/>
      <c r="BK78" s="17"/>
      <c r="BL78" s="17"/>
      <c r="BM78" s="17"/>
      <c r="BN78" s="16"/>
      <c r="BO78" s="17"/>
      <c r="BP78" s="17"/>
      <c r="BQ78" s="17"/>
      <c r="BR78" s="17"/>
      <c r="BS78" s="16"/>
      <c r="BT78" s="17"/>
      <c r="BU78" s="17"/>
      <c r="BV78" s="17"/>
      <c r="BW78" s="17"/>
      <c r="BX78" s="16"/>
      <c r="BY78" s="16"/>
      <c r="BZ78" s="17"/>
      <c r="CA78" s="17"/>
      <c r="CB78" s="17"/>
      <c r="CC78" s="17"/>
      <c r="CD78" s="16"/>
      <c r="CE78" s="17"/>
      <c r="CF78" s="17"/>
      <c r="CG78" s="17"/>
      <c r="CH78" s="17"/>
      <c r="CI78" s="16"/>
      <c r="CJ78" s="17"/>
      <c r="CK78" s="17"/>
      <c r="CL78" s="17"/>
      <c r="CM78" s="17"/>
      <c r="CN78" s="17"/>
      <c r="CO78" s="17"/>
      <c r="CP78" s="17"/>
      <c r="CQ78" s="16"/>
      <c r="CR78" s="17"/>
      <c r="CS78" s="17"/>
      <c r="CT78" s="17"/>
      <c r="CU78" s="17"/>
      <c r="CV78" s="17"/>
      <c r="CW78" s="16"/>
      <c r="CX78" s="17"/>
      <c r="CY78" s="16"/>
      <c r="CZ78" s="17"/>
      <c r="DA78" s="17"/>
      <c r="DB78" s="17"/>
      <c r="DC78" s="17"/>
      <c r="DD78" s="17"/>
    </row>
    <row r="79" spans="1:108" ht="15" customHeight="1">
      <c r="A79" s="7"/>
      <c r="B79" s="17"/>
      <c r="C79" s="17"/>
      <c r="D79" s="17"/>
      <c r="E79" s="14"/>
      <c r="F79" s="7"/>
      <c r="G79" s="14"/>
      <c r="H79" s="14"/>
      <c r="I79" s="14"/>
      <c r="J79" s="14"/>
      <c r="K79" s="14"/>
      <c r="L79" s="14"/>
      <c r="M79" s="14"/>
      <c r="N79" s="14"/>
      <c r="O79" s="14"/>
      <c r="P79" s="14"/>
      <c r="Q79" s="14"/>
      <c r="R79" s="14"/>
      <c r="S79" s="14"/>
      <c r="T79" s="14"/>
      <c r="U79" s="14"/>
      <c r="V79" s="14"/>
      <c r="W79" s="14"/>
      <c r="X79" s="14"/>
      <c r="Y79" s="14"/>
      <c r="Z79" s="14"/>
      <c r="AA79" s="9"/>
      <c r="AB79" s="9"/>
      <c r="AC79" s="9"/>
      <c r="AD79" s="9"/>
      <c r="AE79" s="7"/>
      <c r="AF79" s="12"/>
      <c r="AG79" s="12"/>
      <c r="AH79" s="12"/>
      <c r="AI79" s="7"/>
      <c r="AJ79" s="7"/>
      <c r="AK79" s="17"/>
      <c r="AL79" s="17"/>
      <c r="AM79" s="17"/>
      <c r="AN79" s="17"/>
      <c r="AO79" s="16"/>
      <c r="AP79" s="17"/>
      <c r="AQ79" s="17"/>
      <c r="AR79" s="17"/>
      <c r="AS79" s="17"/>
      <c r="AT79" s="17"/>
      <c r="AU79" s="16"/>
      <c r="AV79" s="17"/>
      <c r="AW79" s="17"/>
      <c r="AX79" s="17"/>
      <c r="AY79" s="17"/>
      <c r="AZ79" s="17"/>
      <c r="BA79" s="17"/>
      <c r="BB79" s="16"/>
      <c r="BC79" s="17"/>
      <c r="BD79" s="17"/>
      <c r="BE79" s="17"/>
      <c r="BF79" s="16"/>
      <c r="BG79" s="17"/>
      <c r="BH79" s="17"/>
      <c r="BI79" s="17"/>
      <c r="BJ79" s="17"/>
      <c r="BK79" s="17"/>
      <c r="BL79" s="17"/>
      <c r="BM79" s="17"/>
      <c r="BN79" s="16"/>
      <c r="BO79" s="17"/>
      <c r="BP79" s="17"/>
      <c r="BQ79" s="17"/>
      <c r="BR79" s="17"/>
      <c r="BS79" s="16"/>
      <c r="BT79" s="17"/>
      <c r="BU79" s="17"/>
      <c r="BV79" s="17"/>
      <c r="BW79" s="17"/>
      <c r="BX79" s="16"/>
      <c r="BY79" s="16"/>
      <c r="BZ79" s="17"/>
      <c r="CA79" s="17"/>
      <c r="CB79" s="17"/>
      <c r="CC79" s="17"/>
      <c r="CD79" s="16"/>
      <c r="CE79" s="17"/>
      <c r="CF79" s="17"/>
      <c r="CG79" s="17"/>
      <c r="CH79" s="17"/>
      <c r="CI79" s="16"/>
      <c r="CJ79" s="17"/>
      <c r="CK79" s="17"/>
      <c r="CL79" s="17"/>
      <c r="CM79" s="17"/>
      <c r="CN79" s="17"/>
      <c r="CO79" s="17"/>
      <c r="CP79" s="17"/>
      <c r="CQ79" s="16"/>
      <c r="CR79" s="17"/>
      <c r="CS79" s="17"/>
      <c r="CT79" s="17"/>
      <c r="CU79" s="17"/>
      <c r="CV79" s="17"/>
      <c r="CW79" s="16"/>
      <c r="CX79" s="17"/>
      <c r="CY79" s="16"/>
      <c r="CZ79" s="17"/>
      <c r="DA79" s="17"/>
      <c r="DB79" s="17"/>
      <c r="DC79" s="17"/>
      <c r="DD79" s="17"/>
    </row>
    <row r="80" spans="1:108" ht="15" customHeight="1">
      <c r="A80" s="7"/>
      <c r="B80" s="17"/>
      <c r="C80" s="17"/>
      <c r="D80" s="17"/>
      <c r="E80" s="14"/>
      <c r="F80" s="7"/>
      <c r="G80" s="14"/>
      <c r="H80" s="14"/>
      <c r="I80" s="14"/>
      <c r="J80" s="14"/>
      <c r="K80" s="14"/>
      <c r="L80" s="14"/>
      <c r="M80" s="14"/>
      <c r="N80" s="14"/>
      <c r="O80" s="14"/>
      <c r="P80" s="14"/>
      <c r="Q80" s="14"/>
      <c r="R80" s="14"/>
      <c r="S80" s="14"/>
      <c r="T80" s="14"/>
      <c r="U80" s="14"/>
      <c r="V80" s="14"/>
      <c r="W80" s="14"/>
      <c r="X80" s="14"/>
      <c r="Y80" s="14"/>
      <c r="Z80" s="14"/>
      <c r="AA80" s="9"/>
      <c r="AB80" s="9"/>
      <c r="AC80" s="9"/>
      <c r="AD80" s="9"/>
      <c r="AE80" s="7"/>
      <c r="AF80" s="12"/>
      <c r="AG80" s="12"/>
      <c r="AH80" s="12"/>
      <c r="AI80" s="7"/>
      <c r="AJ80" s="7"/>
      <c r="AK80" s="17"/>
      <c r="AL80" s="17"/>
      <c r="AM80" s="17"/>
      <c r="AN80" s="17"/>
      <c r="AO80" s="16"/>
      <c r="AP80" s="17"/>
      <c r="AQ80" s="17"/>
      <c r="AR80" s="17"/>
      <c r="AS80" s="17"/>
      <c r="AT80" s="17"/>
      <c r="AU80" s="16"/>
      <c r="AV80" s="17"/>
      <c r="AW80" s="17"/>
      <c r="AX80" s="17"/>
      <c r="AY80" s="17"/>
      <c r="AZ80" s="17"/>
      <c r="BA80" s="17"/>
      <c r="BB80" s="16"/>
      <c r="BC80" s="17"/>
      <c r="BD80" s="17"/>
      <c r="BE80" s="17"/>
      <c r="BF80" s="16"/>
      <c r="BG80" s="17"/>
      <c r="BH80" s="17"/>
      <c r="BI80" s="17"/>
      <c r="BJ80" s="17"/>
      <c r="BK80" s="17"/>
      <c r="BL80" s="17"/>
      <c r="BM80" s="17"/>
      <c r="BN80" s="16"/>
      <c r="BO80" s="17"/>
      <c r="BP80" s="17"/>
      <c r="BQ80" s="17"/>
      <c r="BR80" s="17"/>
      <c r="BS80" s="16"/>
      <c r="BT80" s="17"/>
      <c r="BU80" s="17"/>
      <c r="BV80" s="17"/>
      <c r="BW80" s="17"/>
      <c r="BX80" s="16"/>
      <c r="BY80" s="16"/>
      <c r="BZ80" s="17"/>
      <c r="CA80" s="17"/>
      <c r="CB80" s="17"/>
      <c r="CC80" s="17"/>
      <c r="CD80" s="16"/>
      <c r="CE80" s="17"/>
      <c r="CF80" s="17"/>
      <c r="CG80" s="17"/>
      <c r="CH80" s="17"/>
      <c r="CI80" s="16"/>
      <c r="CJ80" s="17"/>
      <c r="CK80" s="17"/>
      <c r="CL80" s="17"/>
      <c r="CM80" s="17"/>
      <c r="CN80" s="17"/>
      <c r="CO80" s="17"/>
      <c r="CP80" s="17"/>
      <c r="CQ80" s="16"/>
      <c r="CR80" s="17"/>
      <c r="CS80" s="17"/>
      <c r="CT80" s="17"/>
      <c r="CU80" s="17"/>
      <c r="CV80" s="17"/>
      <c r="CW80" s="16"/>
      <c r="CX80" s="17"/>
      <c r="CY80" s="16"/>
      <c r="CZ80" s="17"/>
      <c r="DA80" s="17"/>
      <c r="DB80" s="17"/>
      <c r="DC80" s="17"/>
      <c r="DD80" s="17"/>
    </row>
    <row r="81" spans="1:108" ht="15" customHeight="1">
      <c r="A81" s="7"/>
      <c r="B81" s="17"/>
      <c r="C81" s="17"/>
      <c r="D81" s="17"/>
      <c r="E81" s="14"/>
      <c r="F81" s="7"/>
      <c r="G81" s="14"/>
      <c r="H81" s="14"/>
      <c r="I81" s="14"/>
      <c r="J81" s="14"/>
      <c r="K81" s="14"/>
      <c r="L81" s="14"/>
      <c r="M81" s="14"/>
      <c r="N81" s="14"/>
      <c r="O81" s="14"/>
      <c r="P81" s="14"/>
      <c r="Q81" s="14"/>
      <c r="R81" s="14"/>
      <c r="S81" s="14"/>
      <c r="T81" s="14"/>
      <c r="U81" s="14"/>
      <c r="V81" s="14"/>
      <c r="W81" s="14"/>
      <c r="X81" s="14"/>
      <c r="Y81" s="14"/>
      <c r="Z81" s="14"/>
      <c r="AA81" s="9"/>
      <c r="AB81" s="9"/>
      <c r="AC81" s="9"/>
      <c r="AD81" s="9"/>
      <c r="AE81" s="7"/>
      <c r="AF81" s="12"/>
      <c r="AG81" s="12"/>
      <c r="AH81" s="12"/>
      <c r="AI81" s="7"/>
      <c r="AJ81" s="7"/>
      <c r="AK81" s="17"/>
      <c r="AL81" s="17"/>
      <c r="AM81" s="17"/>
      <c r="AN81" s="17"/>
      <c r="AO81" s="16"/>
      <c r="AP81" s="17"/>
      <c r="AQ81" s="17"/>
      <c r="AR81" s="17"/>
      <c r="AS81" s="17"/>
      <c r="AT81" s="17"/>
      <c r="AU81" s="16"/>
      <c r="AV81" s="17"/>
      <c r="AW81" s="17"/>
      <c r="AX81" s="17"/>
      <c r="AY81" s="17"/>
      <c r="AZ81" s="17"/>
      <c r="BA81" s="17"/>
      <c r="BB81" s="16"/>
      <c r="BC81" s="17"/>
      <c r="BD81" s="17"/>
      <c r="BE81" s="17"/>
      <c r="BF81" s="16"/>
      <c r="BG81" s="17"/>
      <c r="BH81" s="17"/>
      <c r="BI81" s="17"/>
      <c r="BJ81" s="17"/>
      <c r="BK81" s="17"/>
      <c r="BL81" s="17"/>
      <c r="BM81" s="17"/>
      <c r="BN81" s="16"/>
      <c r="BO81" s="17"/>
      <c r="BP81" s="17"/>
      <c r="BQ81" s="17"/>
      <c r="BR81" s="17"/>
      <c r="BS81" s="16"/>
      <c r="BT81" s="17"/>
      <c r="BU81" s="17"/>
      <c r="BV81" s="17"/>
      <c r="BW81" s="17"/>
      <c r="BX81" s="16"/>
      <c r="BY81" s="16"/>
      <c r="BZ81" s="17"/>
      <c r="CA81" s="17"/>
      <c r="CB81" s="17"/>
      <c r="CC81" s="17"/>
      <c r="CD81" s="16"/>
      <c r="CE81" s="17"/>
      <c r="CF81" s="17"/>
      <c r="CG81" s="17"/>
      <c r="CH81" s="17"/>
      <c r="CI81" s="16"/>
      <c r="CJ81" s="17"/>
      <c r="CK81" s="17"/>
      <c r="CL81" s="17"/>
      <c r="CM81" s="17"/>
      <c r="CN81" s="17"/>
      <c r="CO81" s="17"/>
      <c r="CP81" s="17"/>
      <c r="CQ81" s="16"/>
      <c r="CR81" s="17"/>
      <c r="CS81" s="17"/>
      <c r="CT81" s="17"/>
      <c r="CU81" s="17"/>
      <c r="CV81" s="17"/>
      <c r="CW81" s="16"/>
      <c r="CX81" s="17"/>
      <c r="CY81" s="16"/>
      <c r="CZ81" s="17"/>
      <c r="DA81" s="17"/>
      <c r="DB81" s="17"/>
      <c r="DC81" s="17"/>
      <c r="DD81" s="17"/>
    </row>
    <row r="82" spans="1:108" ht="15" customHeight="1">
      <c r="A82" s="7"/>
      <c r="B82" s="17"/>
      <c r="C82" s="17"/>
      <c r="D82" s="17"/>
      <c r="E82" s="14"/>
      <c r="F82" s="7"/>
      <c r="G82" s="14"/>
      <c r="H82" s="14"/>
      <c r="I82" s="14"/>
      <c r="J82" s="14"/>
      <c r="K82" s="14"/>
      <c r="L82" s="14"/>
      <c r="M82" s="14"/>
      <c r="N82" s="14"/>
      <c r="O82" s="14"/>
      <c r="P82" s="14"/>
      <c r="Q82" s="14"/>
      <c r="R82" s="14"/>
      <c r="S82" s="14"/>
      <c r="T82" s="14"/>
      <c r="U82" s="14"/>
      <c r="V82" s="14"/>
      <c r="W82" s="14"/>
      <c r="X82" s="14"/>
      <c r="Y82" s="14"/>
      <c r="Z82" s="14"/>
      <c r="AA82" s="9"/>
      <c r="AB82" s="9"/>
      <c r="AC82" s="9"/>
      <c r="AD82" s="9"/>
      <c r="AE82" s="7"/>
      <c r="AF82" s="12"/>
      <c r="AG82" s="12"/>
      <c r="AH82" s="12"/>
      <c r="AI82" s="7"/>
      <c r="AJ82" s="7"/>
      <c r="AK82" s="17"/>
      <c r="AL82" s="17"/>
      <c r="AM82" s="17"/>
      <c r="AN82" s="17"/>
      <c r="AO82" s="16"/>
      <c r="AP82" s="17"/>
      <c r="AQ82" s="17"/>
      <c r="AR82" s="17"/>
      <c r="AS82" s="17"/>
      <c r="AT82" s="17"/>
      <c r="AU82" s="16"/>
      <c r="AV82" s="17"/>
      <c r="AW82" s="17"/>
      <c r="AX82" s="17"/>
      <c r="AY82" s="17"/>
      <c r="AZ82" s="17"/>
      <c r="BA82" s="17"/>
      <c r="BB82" s="16"/>
      <c r="BC82" s="17"/>
      <c r="BD82" s="17"/>
      <c r="BE82" s="17"/>
      <c r="BF82" s="16"/>
      <c r="BG82" s="17"/>
      <c r="BH82" s="17"/>
      <c r="BI82" s="17"/>
      <c r="BJ82" s="17"/>
      <c r="BK82" s="17"/>
      <c r="BL82" s="17"/>
      <c r="BM82" s="17"/>
      <c r="BN82" s="16"/>
      <c r="BO82" s="17"/>
      <c r="BP82" s="17"/>
      <c r="BQ82" s="17"/>
      <c r="BR82" s="17"/>
      <c r="BS82" s="16"/>
      <c r="BT82" s="17"/>
      <c r="BU82" s="17"/>
      <c r="BV82" s="17"/>
      <c r="BW82" s="17"/>
      <c r="BX82" s="16"/>
      <c r="BY82" s="16"/>
      <c r="BZ82" s="17"/>
      <c r="CA82" s="17"/>
      <c r="CB82" s="17"/>
      <c r="CC82" s="17"/>
      <c r="CD82" s="16"/>
      <c r="CE82" s="17"/>
      <c r="CF82" s="17"/>
      <c r="CG82" s="17"/>
      <c r="CH82" s="17"/>
      <c r="CI82" s="16"/>
      <c r="CJ82" s="17"/>
      <c r="CK82" s="17"/>
      <c r="CL82" s="17"/>
      <c r="CM82" s="17"/>
      <c r="CN82" s="17"/>
      <c r="CO82" s="17"/>
      <c r="CP82" s="17"/>
      <c r="CQ82" s="16"/>
      <c r="CR82" s="17"/>
      <c r="CS82" s="17"/>
      <c r="CT82" s="17"/>
      <c r="CU82" s="17"/>
      <c r="CV82" s="17"/>
      <c r="CW82" s="16"/>
      <c r="CX82" s="17"/>
      <c r="CY82" s="16"/>
      <c r="CZ82" s="17"/>
      <c r="DA82" s="17"/>
      <c r="DB82" s="17"/>
      <c r="DC82" s="17"/>
      <c r="DD82" s="17"/>
    </row>
    <row r="83" spans="1:108" ht="15" customHeight="1">
      <c r="A83" s="7"/>
      <c r="B83" s="17"/>
      <c r="C83" s="17"/>
      <c r="D83" s="17"/>
      <c r="E83" s="14"/>
      <c r="F83" s="7"/>
      <c r="G83" s="14"/>
      <c r="H83" s="14"/>
      <c r="I83" s="14"/>
      <c r="J83" s="14"/>
      <c r="K83" s="14"/>
      <c r="L83" s="14"/>
      <c r="M83" s="14"/>
      <c r="N83" s="14"/>
      <c r="O83" s="14"/>
      <c r="P83" s="14"/>
      <c r="Q83" s="14"/>
      <c r="R83" s="14"/>
      <c r="S83" s="14"/>
      <c r="T83" s="14"/>
      <c r="U83" s="14"/>
      <c r="V83" s="14"/>
      <c r="W83" s="14"/>
      <c r="X83" s="14"/>
      <c r="Y83" s="14"/>
      <c r="Z83" s="14"/>
      <c r="AA83" s="9"/>
      <c r="AB83" s="9"/>
      <c r="AC83" s="9"/>
      <c r="AD83" s="9"/>
      <c r="AE83" s="7"/>
      <c r="AF83" s="12"/>
      <c r="AG83" s="12"/>
      <c r="AH83" s="12"/>
      <c r="AI83" s="7"/>
      <c r="AJ83" s="7"/>
      <c r="AK83" s="17"/>
      <c r="AL83" s="17"/>
      <c r="AM83" s="17"/>
      <c r="AN83" s="17"/>
      <c r="AO83" s="16"/>
      <c r="AP83" s="17"/>
      <c r="AQ83" s="17"/>
      <c r="AR83" s="17"/>
      <c r="AS83" s="17"/>
      <c r="AT83" s="17"/>
      <c r="AU83" s="16"/>
      <c r="AV83" s="17"/>
      <c r="AW83" s="17"/>
      <c r="AX83" s="17"/>
      <c r="AY83" s="17"/>
      <c r="AZ83" s="17"/>
      <c r="BA83" s="17"/>
      <c r="BB83" s="16"/>
      <c r="BC83" s="17"/>
      <c r="BD83" s="17"/>
      <c r="BE83" s="17"/>
      <c r="BF83" s="16"/>
      <c r="BG83" s="17"/>
      <c r="BH83" s="17"/>
      <c r="BI83" s="17"/>
      <c r="BJ83" s="17"/>
      <c r="BK83" s="17"/>
      <c r="BL83" s="17"/>
      <c r="BM83" s="17"/>
      <c r="BN83" s="16"/>
      <c r="BO83" s="17"/>
      <c r="BP83" s="17"/>
      <c r="BQ83" s="17"/>
      <c r="BR83" s="17"/>
      <c r="BS83" s="16"/>
      <c r="BT83" s="17"/>
      <c r="BU83" s="17"/>
      <c r="BV83" s="17"/>
      <c r="BW83" s="17"/>
      <c r="BX83" s="16"/>
      <c r="BY83" s="16"/>
      <c r="BZ83" s="17"/>
      <c r="CA83" s="17"/>
      <c r="CB83" s="17"/>
      <c r="CC83" s="17"/>
      <c r="CD83" s="16"/>
      <c r="CE83" s="17"/>
      <c r="CF83" s="17"/>
      <c r="CG83" s="17"/>
      <c r="CH83" s="17"/>
      <c r="CI83" s="16"/>
      <c r="CJ83" s="17"/>
      <c r="CK83" s="17"/>
      <c r="CL83" s="17"/>
      <c r="CM83" s="17"/>
      <c r="CN83" s="17"/>
      <c r="CO83" s="17"/>
      <c r="CP83" s="17"/>
      <c r="CQ83" s="16"/>
      <c r="CR83" s="17"/>
      <c r="CS83" s="17"/>
      <c r="CT83" s="17"/>
      <c r="CU83" s="17"/>
      <c r="CV83" s="17"/>
      <c r="CW83" s="16"/>
      <c r="CX83" s="17"/>
      <c r="CY83" s="16"/>
      <c r="CZ83" s="17"/>
      <c r="DA83" s="17"/>
      <c r="DB83" s="17"/>
      <c r="DC83" s="17"/>
      <c r="DD83" s="17"/>
    </row>
    <row r="84" spans="1:108" ht="15" customHeight="1">
      <c r="A84" s="7"/>
      <c r="B84" s="17"/>
      <c r="C84" s="17"/>
      <c r="D84" s="17"/>
      <c r="E84" s="14"/>
      <c r="F84" s="7"/>
      <c r="G84" s="14"/>
      <c r="H84" s="14"/>
      <c r="I84" s="14"/>
      <c r="J84" s="14"/>
      <c r="K84" s="14"/>
      <c r="L84" s="14"/>
      <c r="M84" s="14"/>
      <c r="N84" s="14"/>
      <c r="O84" s="14"/>
      <c r="P84" s="14"/>
      <c r="Q84" s="14"/>
      <c r="R84" s="14"/>
      <c r="S84" s="14"/>
      <c r="T84" s="14"/>
      <c r="U84" s="14"/>
      <c r="V84" s="14"/>
      <c r="W84" s="14"/>
      <c r="X84" s="14"/>
      <c r="Y84" s="14"/>
      <c r="Z84" s="14"/>
      <c r="AA84" s="9"/>
      <c r="AB84" s="9"/>
      <c r="AC84" s="9"/>
      <c r="AD84" s="9"/>
      <c r="AE84" s="7"/>
      <c r="AF84" s="12"/>
      <c r="AG84" s="12"/>
      <c r="AH84" s="12"/>
      <c r="AI84" s="7"/>
      <c r="AJ84" s="7"/>
      <c r="AK84" s="17"/>
      <c r="AL84" s="17"/>
      <c r="AM84" s="17"/>
      <c r="AN84" s="17"/>
      <c r="AO84" s="16"/>
      <c r="AP84" s="17"/>
      <c r="AQ84" s="17"/>
      <c r="AR84" s="17"/>
      <c r="AS84" s="17"/>
      <c r="AT84" s="17"/>
      <c r="AU84" s="16"/>
      <c r="AV84" s="17"/>
      <c r="AW84" s="17"/>
      <c r="AX84" s="17"/>
      <c r="AY84" s="17"/>
      <c r="AZ84" s="17"/>
      <c r="BA84" s="17"/>
      <c r="BB84" s="16"/>
      <c r="BC84" s="17"/>
      <c r="BD84" s="17"/>
      <c r="BE84" s="17"/>
      <c r="BF84" s="16"/>
      <c r="BG84" s="17"/>
      <c r="BH84" s="17"/>
      <c r="BI84" s="17"/>
      <c r="BJ84" s="17"/>
      <c r="BK84" s="17"/>
      <c r="BL84" s="17"/>
      <c r="BM84" s="17"/>
      <c r="BN84" s="16"/>
      <c r="BO84" s="17"/>
      <c r="BP84" s="17"/>
      <c r="BQ84" s="17"/>
      <c r="BR84" s="17"/>
      <c r="BS84" s="16"/>
      <c r="BT84" s="17"/>
      <c r="BU84" s="17"/>
      <c r="BV84" s="17"/>
      <c r="BW84" s="17"/>
      <c r="BX84" s="16"/>
      <c r="BY84" s="16"/>
      <c r="BZ84" s="17"/>
      <c r="CA84" s="17"/>
      <c r="CB84" s="17"/>
      <c r="CC84" s="17"/>
      <c r="CD84" s="16"/>
      <c r="CE84" s="17"/>
      <c r="CF84" s="17"/>
      <c r="CG84" s="17"/>
      <c r="CH84" s="17"/>
      <c r="CI84" s="16"/>
      <c r="CJ84" s="17"/>
      <c r="CK84" s="17"/>
      <c r="CL84" s="17"/>
      <c r="CM84" s="17"/>
      <c r="CN84" s="17"/>
      <c r="CO84" s="17"/>
      <c r="CP84" s="17"/>
      <c r="CQ84" s="16"/>
      <c r="CR84" s="17"/>
      <c r="CS84" s="17"/>
      <c r="CT84" s="17"/>
      <c r="CU84" s="17"/>
      <c r="CV84" s="17"/>
      <c r="CW84" s="16"/>
      <c r="CX84" s="17"/>
      <c r="CY84" s="16"/>
      <c r="CZ84" s="17"/>
      <c r="DA84" s="17"/>
      <c r="DB84" s="17"/>
      <c r="DC84" s="17"/>
      <c r="DD84" s="17"/>
    </row>
    <row r="85" spans="1:108" ht="15" customHeight="1">
      <c r="A85" s="7"/>
      <c r="B85" s="17"/>
      <c r="C85" s="17"/>
      <c r="D85" s="17"/>
      <c r="E85" s="14"/>
      <c r="F85" s="7"/>
      <c r="G85" s="14"/>
      <c r="H85" s="14"/>
      <c r="I85" s="14"/>
      <c r="J85" s="14"/>
      <c r="K85" s="14"/>
      <c r="L85" s="14"/>
      <c r="M85" s="14"/>
      <c r="N85" s="14"/>
      <c r="O85" s="14"/>
      <c r="P85" s="14"/>
      <c r="Q85" s="14"/>
      <c r="R85" s="14"/>
      <c r="S85" s="14"/>
      <c r="T85" s="14"/>
      <c r="U85" s="14"/>
      <c r="V85" s="14"/>
      <c r="W85" s="14"/>
      <c r="X85" s="14"/>
      <c r="Y85" s="14"/>
      <c r="Z85" s="14"/>
      <c r="AA85" s="9"/>
      <c r="AB85" s="9"/>
      <c r="AC85" s="9"/>
      <c r="AD85" s="9"/>
      <c r="AE85" s="7"/>
      <c r="AF85" s="12"/>
      <c r="AG85" s="12"/>
      <c r="AH85" s="12"/>
      <c r="AI85" s="7"/>
      <c r="AJ85" s="7"/>
      <c r="AK85" s="17"/>
      <c r="AL85" s="17"/>
      <c r="AM85" s="17"/>
      <c r="AN85" s="17"/>
      <c r="AO85" s="16"/>
      <c r="AP85" s="17"/>
      <c r="AQ85" s="17"/>
      <c r="AR85" s="17"/>
      <c r="AS85" s="17"/>
      <c r="AT85" s="17"/>
      <c r="AU85" s="16"/>
      <c r="AV85" s="17"/>
      <c r="AW85" s="17"/>
      <c r="AX85" s="17"/>
      <c r="AY85" s="17"/>
      <c r="AZ85" s="17"/>
      <c r="BA85" s="17"/>
      <c r="BB85" s="16"/>
      <c r="BC85" s="17"/>
      <c r="BD85" s="17"/>
      <c r="BE85" s="17"/>
      <c r="BF85" s="16"/>
      <c r="BG85" s="17"/>
      <c r="BH85" s="17"/>
      <c r="BI85" s="17"/>
      <c r="BJ85" s="17"/>
      <c r="BK85" s="17"/>
      <c r="BL85" s="17"/>
      <c r="BM85" s="17"/>
      <c r="BN85" s="16"/>
      <c r="BO85" s="17"/>
      <c r="BP85" s="17"/>
      <c r="BQ85" s="17"/>
      <c r="BR85" s="17"/>
      <c r="BS85" s="16"/>
      <c r="BT85" s="17"/>
      <c r="BU85" s="17"/>
      <c r="BV85" s="17"/>
      <c r="BW85" s="17"/>
      <c r="BX85" s="16"/>
      <c r="BY85" s="16"/>
      <c r="BZ85" s="17"/>
      <c r="CA85" s="17"/>
      <c r="CB85" s="17"/>
      <c r="CC85" s="17"/>
      <c r="CD85" s="16"/>
      <c r="CE85" s="17"/>
      <c r="CF85" s="17"/>
      <c r="CG85" s="17"/>
      <c r="CH85" s="17"/>
      <c r="CI85" s="16"/>
      <c r="CJ85" s="17"/>
      <c r="CK85" s="17"/>
      <c r="CL85" s="17"/>
      <c r="CM85" s="17"/>
      <c r="CN85" s="17"/>
      <c r="CO85" s="17"/>
      <c r="CP85" s="17"/>
      <c r="CQ85" s="16"/>
      <c r="CR85" s="17"/>
      <c r="CS85" s="17"/>
      <c r="CT85" s="17"/>
      <c r="CU85" s="17"/>
      <c r="CV85" s="17"/>
      <c r="CW85" s="16"/>
      <c r="CX85" s="17"/>
      <c r="CY85" s="16"/>
      <c r="CZ85" s="17"/>
      <c r="DA85" s="17"/>
      <c r="DB85" s="17"/>
      <c r="DC85" s="17"/>
      <c r="DD85" s="17"/>
    </row>
    <row r="86" spans="1:108" ht="15" customHeight="1">
      <c r="A86" s="7"/>
      <c r="B86" s="17"/>
      <c r="C86" s="17"/>
      <c r="D86" s="17"/>
      <c r="E86" s="14"/>
      <c r="F86" s="7"/>
      <c r="G86" s="14"/>
      <c r="H86" s="14"/>
      <c r="I86" s="14"/>
      <c r="J86" s="14"/>
      <c r="K86" s="14"/>
      <c r="L86" s="14"/>
      <c r="M86" s="14"/>
      <c r="N86" s="14"/>
      <c r="O86" s="14"/>
      <c r="P86" s="14"/>
      <c r="Q86" s="14"/>
      <c r="R86" s="14"/>
      <c r="S86" s="14"/>
      <c r="T86" s="14"/>
      <c r="U86" s="14"/>
      <c r="V86" s="14"/>
      <c r="W86" s="14"/>
      <c r="X86" s="14"/>
      <c r="Y86" s="14"/>
      <c r="Z86" s="14"/>
      <c r="AA86" s="9"/>
      <c r="AB86" s="9"/>
      <c r="AC86" s="9"/>
      <c r="AD86" s="9"/>
      <c r="AE86" s="7"/>
      <c r="AF86" s="12"/>
      <c r="AG86" s="12"/>
      <c r="AH86" s="12"/>
      <c r="AI86" s="7"/>
      <c r="AJ86" s="7"/>
      <c r="AK86" s="17"/>
      <c r="AL86" s="17"/>
      <c r="AM86" s="17"/>
      <c r="AN86" s="17"/>
      <c r="AO86" s="16"/>
      <c r="AP86" s="17"/>
      <c r="AQ86" s="17"/>
      <c r="AR86" s="17"/>
      <c r="AS86" s="17"/>
      <c r="AT86" s="17"/>
      <c r="AU86" s="16"/>
      <c r="AV86" s="17"/>
      <c r="AW86" s="17"/>
      <c r="AX86" s="17"/>
      <c r="AY86" s="17"/>
      <c r="AZ86" s="17"/>
      <c r="BA86" s="17"/>
      <c r="BB86" s="16"/>
      <c r="BC86" s="17"/>
      <c r="BD86" s="17"/>
      <c r="BE86" s="17"/>
      <c r="BF86" s="16"/>
      <c r="BG86" s="17"/>
      <c r="BH86" s="17"/>
      <c r="BI86" s="17"/>
      <c r="BJ86" s="17"/>
      <c r="BK86" s="17"/>
      <c r="BL86" s="17"/>
      <c r="BM86" s="17"/>
      <c r="BN86" s="16"/>
      <c r="BO86" s="17"/>
      <c r="BP86" s="17"/>
      <c r="BQ86" s="17"/>
      <c r="BR86" s="17"/>
      <c r="BS86" s="16"/>
      <c r="BT86" s="17"/>
      <c r="BU86" s="17"/>
      <c r="BV86" s="17"/>
      <c r="BW86" s="17"/>
      <c r="BX86" s="16"/>
      <c r="BY86" s="16"/>
      <c r="BZ86" s="17"/>
      <c r="CA86" s="17"/>
      <c r="CB86" s="17"/>
      <c r="CC86" s="17"/>
      <c r="CD86" s="16"/>
      <c r="CE86" s="17"/>
      <c r="CF86" s="17"/>
      <c r="CG86" s="17"/>
      <c r="CH86" s="17"/>
      <c r="CI86" s="16"/>
      <c r="CJ86" s="17"/>
      <c r="CK86" s="17"/>
      <c r="CL86" s="17"/>
      <c r="CM86" s="17"/>
      <c r="CN86" s="17"/>
      <c r="CO86" s="17"/>
      <c r="CP86" s="17"/>
      <c r="CQ86" s="16"/>
      <c r="CR86" s="17"/>
      <c r="CS86" s="17"/>
      <c r="CT86" s="17"/>
      <c r="CU86" s="17"/>
      <c r="CV86" s="17"/>
      <c r="CW86" s="16"/>
      <c r="CX86" s="17"/>
      <c r="CY86" s="16"/>
      <c r="CZ86" s="17"/>
      <c r="DA86" s="17"/>
      <c r="DB86" s="17"/>
      <c r="DC86" s="17"/>
      <c r="DD86" s="17"/>
    </row>
    <row r="87" spans="1:108" ht="15" customHeight="1">
      <c r="A87" s="7"/>
      <c r="B87" s="17"/>
      <c r="C87" s="17"/>
      <c r="D87" s="17"/>
      <c r="E87" s="14"/>
      <c r="F87" s="7"/>
      <c r="G87" s="14"/>
      <c r="H87" s="14"/>
      <c r="I87" s="14"/>
      <c r="J87" s="14"/>
      <c r="K87" s="14"/>
      <c r="L87" s="14"/>
      <c r="M87" s="14"/>
      <c r="N87" s="14"/>
      <c r="O87" s="14"/>
      <c r="P87" s="14"/>
      <c r="Q87" s="14"/>
      <c r="R87" s="14"/>
      <c r="S87" s="14"/>
      <c r="T87" s="14"/>
      <c r="U87" s="14"/>
      <c r="V87" s="14"/>
      <c r="W87" s="14"/>
      <c r="X87" s="14"/>
      <c r="Y87" s="14"/>
      <c r="Z87" s="14"/>
      <c r="AA87" s="9"/>
      <c r="AB87" s="9"/>
      <c r="AC87" s="9"/>
      <c r="AD87" s="9"/>
      <c r="AE87" s="7"/>
      <c r="AF87" s="12"/>
      <c r="AG87" s="12"/>
      <c r="AH87" s="12"/>
      <c r="AI87" s="7"/>
      <c r="AJ87" s="7"/>
      <c r="AK87" s="17"/>
      <c r="AL87" s="17"/>
      <c r="AM87" s="17"/>
      <c r="AN87" s="17"/>
      <c r="AO87" s="16"/>
      <c r="AP87" s="17"/>
      <c r="AQ87" s="17"/>
      <c r="AR87" s="17"/>
      <c r="AS87" s="17"/>
      <c r="AT87" s="17"/>
      <c r="AU87" s="16"/>
      <c r="AV87" s="17"/>
      <c r="AW87" s="17"/>
      <c r="AX87" s="17"/>
      <c r="AY87" s="17"/>
      <c r="AZ87" s="17"/>
      <c r="BA87" s="17"/>
      <c r="BB87" s="16"/>
      <c r="BC87" s="17"/>
      <c r="BD87" s="17"/>
      <c r="BE87" s="17"/>
      <c r="BF87" s="16"/>
      <c r="BG87" s="17"/>
      <c r="BH87" s="17"/>
      <c r="BI87" s="17"/>
      <c r="BJ87" s="17"/>
      <c r="BK87" s="17"/>
      <c r="BL87" s="17"/>
      <c r="BM87" s="17"/>
      <c r="BN87" s="16"/>
      <c r="BO87" s="17"/>
      <c r="BP87" s="17"/>
      <c r="BQ87" s="17"/>
      <c r="BR87" s="17"/>
      <c r="BS87" s="16"/>
      <c r="BT87" s="17"/>
      <c r="BU87" s="17"/>
      <c r="BV87" s="17"/>
      <c r="BW87" s="17"/>
      <c r="BX87" s="16"/>
      <c r="BY87" s="16"/>
      <c r="BZ87" s="17"/>
      <c r="CA87" s="17"/>
      <c r="CB87" s="17"/>
      <c r="CC87" s="17"/>
      <c r="CD87" s="16"/>
      <c r="CE87" s="17"/>
      <c r="CF87" s="17"/>
      <c r="CG87" s="17"/>
      <c r="CH87" s="17"/>
      <c r="CI87" s="16"/>
      <c r="CJ87" s="17"/>
      <c r="CK87" s="17"/>
      <c r="CL87" s="17"/>
      <c r="CM87" s="17"/>
      <c r="CN87" s="17"/>
      <c r="CO87" s="17"/>
      <c r="CP87" s="17"/>
      <c r="CQ87" s="16"/>
      <c r="CR87" s="17"/>
      <c r="CS87" s="17"/>
      <c r="CT87" s="17"/>
      <c r="CU87" s="17"/>
      <c r="CV87" s="17"/>
      <c r="CW87" s="16"/>
      <c r="CX87" s="17"/>
      <c r="CY87" s="16"/>
      <c r="CZ87" s="17"/>
      <c r="DA87" s="17"/>
      <c r="DB87" s="17"/>
      <c r="DC87" s="17"/>
      <c r="DD87" s="17"/>
    </row>
    <row r="88" spans="1:108" ht="15" customHeight="1">
      <c r="A88" s="7"/>
      <c r="B88" s="17"/>
      <c r="C88" s="17"/>
      <c r="D88" s="17"/>
      <c r="E88" s="14"/>
      <c r="F88" s="7"/>
      <c r="G88" s="14"/>
      <c r="H88" s="14"/>
      <c r="I88" s="14"/>
      <c r="J88" s="14"/>
      <c r="K88" s="14"/>
      <c r="L88" s="14"/>
      <c r="M88" s="14"/>
      <c r="N88" s="14"/>
      <c r="O88" s="14"/>
      <c r="P88" s="14"/>
      <c r="Q88" s="14"/>
      <c r="R88" s="14"/>
      <c r="S88" s="14"/>
      <c r="T88" s="14"/>
      <c r="U88" s="14"/>
      <c r="V88" s="14"/>
      <c r="W88" s="14"/>
      <c r="X88" s="14"/>
      <c r="Y88" s="14"/>
      <c r="Z88" s="14"/>
      <c r="AA88" s="9"/>
      <c r="AB88" s="9"/>
      <c r="AC88" s="9"/>
      <c r="AD88" s="9"/>
      <c r="AE88" s="7"/>
      <c r="AF88" s="12"/>
      <c r="AG88" s="12"/>
      <c r="AH88" s="12"/>
      <c r="AI88" s="7"/>
      <c r="AJ88" s="7"/>
      <c r="AK88" s="17"/>
      <c r="AL88" s="17"/>
      <c r="AM88" s="17"/>
      <c r="AN88" s="17"/>
      <c r="AO88" s="16"/>
      <c r="AP88" s="17"/>
      <c r="AQ88" s="17"/>
      <c r="AR88" s="17"/>
      <c r="AS88" s="17"/>
      <c r="AT88" s="17"/>
      <c r="AU88" s="16"/>
      <c r="AV88" s="17"/>
      <c r="AW88" s="17"/>
      <c r="AX88" s="17"/>
      <c r="AY88" s="17"/>
      <c r="AZ88" s="17"/>
      <c r="BA88" s="17"/>
      <c r="BB88" s="16"/>
      <c r="BC88" s="17"/>
      <c r="BD88" s="17"/>
      <c r="BE88" s="17"/>
      <c r="BF88" s="16"/>
      <c r="BG88" s="17"/>
      <c r="BH88" s="17"/>
      <c r="BI88" s="17"/>
      <c r="BJ88" s="17"/>
      <c r="BK88" s="17"/>
      <c r="BL88" s="17"/>
      <c r="BM88" s="17"/>
      <c r="BN88" s="16"/>
      <c r="BO88" s="17"/>
      <c r="BP88" s="17"/>
      <c r="BQ88" s="17"/>
      <c r="BR88" s="17"/>
      <c r="BS88" s="16"/>
      <c r="BT88" s="17"/>
      <c r="BU88" s="17"/>
      <c r="BV88" s="17"/>
      <c r="BW88" s="17"/>
      <c r="BX88" s="16"/>
      <c r="BY88" s="16"/>
      <c r="BZ88" s="17"/>
      <c r="CA88" s="17"/>
      <c r="CB88" s="17"/>
      <c r="CC88" s="17"/>
      <c r="CD88" s="16"/>
      <c r="CE88" s="17"/>
      <c r="CF88" s="17"/>
      <c r="CG88" s="17"/>
      <c r="CH88" s="17"/>
      <c r="CI88" s="16"/>
      <c r="CJ88" s="17"/>
      <c r="CK88" s="17"/>
      <c r="CL88" s="17"/>
      <c r="CM88" s="17"/>
      <c r="CN88" s="17"/>
      <c r="CO88" s="17"/>
      <c r="CP88" s="17"/>
      <c r="CQ88" s="16"/>
      <c r="CR88" s="17"/>
      <c r="CS88" s="17"/>
      <c r="CT88" s="17"/>
      <c r="CU88" s="17"/>
      <c r="CV88" s="17"/>
      <c r="CW88" s="16"/>
      <c r="CX88" s="17"/>
      <c r="CY88" s="16"/>
      <c r="CZ88" s="17"/>
      <c r="DA88" s="17"/>
      <c r="DB88" s="17"/>
      <c r="DC88" s="17"/>
      <c r="DD88" s="17"/>
    </row>
    <row r="89" spans="1:108" ht="15" customHeight="1">
      <c r="A89" s="7"/>
      <c r="B89" s="17"/>
      <c r="C89" s="17"/>
      <c r="D89" s="17"/>
      <c r="E89" s="14"/>
      <c r="F89" s="7"/>
      <c r="G89" s="14"/>
      <c r="H89" s="14"/>
      <c r="I89" s="14"/>
      <c r="J89" s="14"/>
      <c r="K89" s="14"/>
      <c r="L89" s="14"/>
      <c r="M89" s="14"/>
      <c r="N89" s="14"/>
      <c r="O89" s="14"/>
      <c r="P89" s="14"/>
      <c r="Q89" s="14"/>
      <c r="R89" s="14"/>
      <c r="S89" s="14"/>
      <c r="T89" s="14"/>
      <c r="U89" s="14"/>
      <c r="V89" s="14"/>
      <c r="W89" s="14"/>
      <c r="X89" s="14"/>
      <c r="Y89" s="14"/>
      <c r="Z89" s="14"/>
      <c r="AA89" s="9"/>
      <c r="AB89" s="9"/>
      <c r="AC89" s="9"/>
      <c r="AD89" s="9"/>
      <c r="AE89" s="7"/>
      <c r="AF89" s="12"/>
      <c r="AG89" s="12"/>
      <c r="AH89" s="12"/>
      <c r="AI89" s="7"/>
      <c r="AJ89" s="7"/>
      <c r="AK89" s="17"/>
      <c r="AL89" s="17"/>
      <c r="AM89" s="17"/>
      <c r="AN89" s="17"/>
      <c r="AO89" s="16"/>
      <c r="AP89" s="17"/>
      <c r="AQ89" s="17"/>
      <c r="AR89" s="17"/>
      <c r="AS89" s="17"/>
      <c r="AT89" s="17"/>
      <c r="AU89" s="16"/>
      <c r="AV89" s="17"/>
      <c r="AW89" s="17"/>
      <c r="AX89" s="17"/>
      <c r="AY89" s="17"/>
      <c r="AZ89" s="17"/>
      <c r="BA89" s="17"/>
      <c r="BB89" s="16"/>
      <c r="BC89" s="17"/>
      <c r="BD89" s="17"/>
      <c r="BE89" s="17"/>
      <c r="BF89" s="16"/>
      <c r="BG89" s="17"/>
      <c r="BH89" s="17"/>
      <c r="BI89" s="17"/>
      <c r="BJ89" s="17"/>
      <c r="BK89" s="17"/>
      <c r="BL89" s="17"/>
      <c r="BM89" s="17"/>
      <c r="BN89" s="16"/>
      <c r="BO89" s="17"/>
      <c r="BP89" s="17"/>
      <c r="BQ89" s="17"/>
      <c r="BR89" s="17"/>
      <c r="BS89" s="16"/>
      <c r="BT89" s="17"/>
      <c r="BU89" s="17"/>
      <c r="BV89" s="17"/>
      <c r="BW89" s="17"/>
      <c r="BX89" s="16"/>
      <c r="BY89" s="16"/>
      <c r="BZ89" s="17"/>
      <c r="CA89" s="17"/>
      <c r="CB89" s="17"/>
      <c r="CC89" s="17"/>
      <c r="CD89" s="16"/>
      <c r="CE89" s="17"/>
      <c r="CF89" s="17"/>
      <c r="CG89" s="17"/>
      <c r="CH89" s="17"/>
      <c r="CI89" s="16"/>
      <c r="CJ89" s="17"/>
      <c r="CK89" s="17"/>
      <c r="CL89" s="17"/>
      <c r="CM89" s="17"/>
      <c r="CN89" s="17"/>
      <c r="CO89" s="17"/>
      <c r="CP89" s="17"/>
      <c r="CQ89" s="16"/>
      <c r="CR89" s="17"/>
      <c r="CS89" s="17"/>
      <c r="CT89" s="17"/>
      <c r="CU89" s="17"/>
      <c r="CV89" s="17"/>
      <c r="CW89" s="16"/>
      <c r="CX89" s="17"/>
      <c r="CY89" s="16"/>
      <c r="CZ89" s="17"/>
      <c r="DA89" s="17"/>
      <c r="DB89" s="17"/>
      <c r="DC89" s="17"/>
      <c r="DD89" s="17"/>
    </row>
    <row r="90" spans="1:108" ht="15" customHeight="1">
      <c r="A90" s="7"/>
      <c r="B90" s="17"/>
      <c r="C90" s="17"/>
      <c r="D90" s="17"/>
      <c r="E90" s="14"/>
      <c r="F90" s="7"/>
      <c r="G90" s="14"/>
      <c r="H90" s="14"/>
      <c r="I90" s="14"/>
      <c r="J90" s="14"/>
      <c r="K90" s="14"/>
      <c r="L90" s="14"/>
      <c r="M90" s="14"/>
      <c r="N90" s="14"/>
      <c r="O90" s="14"/>
      <c r="P90" s="14"/>
      <c r="Q90" s="14"/>
      <c r="R90" s="14"/>
      <c r="S90" s="14"/>
      <c r="T90" s="14"/>
      <c r="U90" s="14"/>
      <c r="V90" s="14"/>
      <c r="W90" s="14"/>
      <c r="X90" s="14"/>
      <c r="Y90" s="14"/>
      <c r="Z90" s="14"/>
      <c r="AA90" s="9"/>
      <c r="AB90" s="9"/>
      <c r="AC90" s="9"/>
      <c r="AD90" s="9"/>
      <c r="AE90" s="7"/>
      <c r="AF90" s="12"/>
      <c r="AG90" s="12"/>
      <c r="AH90" s="12"/>
      <c r="AI90" s="7"/>
      <c r="AJ90" s="7"/>
      <c r="AK90" s="17"/>
      <c r="AL90" s="17"/>
      <c r="AM90" s="17"/>
      <c r="AN90" s="17"/>
      <c r="AO90" s="16"/>
      <c r="AP90" s="17"/>
      <c r="AQ90" s="17"/>
      <c r="AR90" s="17"/>
      <c r="AS90" s="17"/>
      <c r="AT90" s="17"/>
      <c r="AU90" s="16"/>
      <c r="AV90" s="17"/>
      <c r="AW90" s="17"/>
      <c r="AX90" s="17"/>
      <c r="AY90" s="17"/>
      <c r="AZ90" s="17"/>
      <c r="BA90" s="17"/>
      <c r="BB90" s="16"/>
      <c r="BC90" s="17"/>
      <c r="BD90" s="17"/>
      <c r="BE90" s="17"/>
      <c r="BF90" s="16"/>
      <c r="BG90" s="17"/>
      <c r="BH90" s="17"/>
      <c r="BI90" s="17"/>
      <c r="BJ90" s="17"/>
      <c r="BK90" s="17"/>
      <c r="BL90" s="17"/>
      <c r="BM90" s="17"/>
      <c r="BN90" s="16"/>
      <c r="BO90" s="17"/>
      <c r="BP90" s="17"/>
      <c r="BQ90" s="17"/>
      <c r="BR90" s="17"/>
      <c r="BS90" s="16"/>
      <c r="BT90" s="17"/>
      <c r="BU90" s="17"/>
      <c r="BV90" s="17"/>
      <c r="BW90" s="17"/>
      <c r="BX90" s="16"/>
      <c r="BY90" s="16"/>
      <c r="BZ90" s="17"/>
      <c r="CA90" s="17"/>
      <c r="CB90" s="17"/>
      <c r="CC90" s="17"/>
      <c r="CD90" s="16"/>
      <c r="CE90" s="17"/>
      <c r="CF90" s="17"/>
      <c r="CG90" s="17"/>
      <c r="CH90" s="17"/>
      <c r="CI90" s="16"/>
      <c r="CJ90" s="17"/>
      <c r="CK90" s="17"/>
      <c r="CL90" s="17"/>
      <c r="CM90" s="17"/>
      <c r="CN90" s="17"/>
      <c r="CO90" s="17"/>
      <c r="CP90" s="17"/>
      <c r="CQ90" s="16"/>
      <c r="CR90" s="17"/>
      <c r="CS90" s="17"/>
      <c r="CT90" s="17"/>
      <c r="CU90" s="17"/>
      <c r="CV90" s="17"/>
      <c r="CW90" s="16"/>
      <c r="CX90" s="17"/>
      <c r="CY90" s="16"/>
      <c r="CZ90" s="17"/>
      <c r="DA90" s="17"/>
      <c r="DB90" s="17"/>
      <c r="DC90" s="17"/>
      <c r="DD90" s="17"/>
    </row>
    <row r="91" spans="1:108" ht="15" customHeight="1">
      <c r="A91" s="7"/>
      <c r="B91" s="17"/>
      <c r="C91" s="17"/>
      <c r="D91" s="17"/>
      <c r="E91" s="14"/>
      <c r="F91" s="7"/>
      <c r="G91" s="14"/>
      <c r="H91" s="14"/>
      <c r="I91" s="14"/>
      <c r="J91" s="14"/>
      <c r="K91" s="14"/>
      <c r="L91" s="14"/>
      <c r="M91" s="14"/>
      <c r="N91" s="14"/>
      <c r="O91" s="14"/>
      <c r="P91" s="14"/>
      <c r="Q91" s="14"/>
      <c r="R91" s="14"/>
      <c r="S91" s="14"/>
      <c r="T91" s="14"/>
      <c r="U91" s="14"/>
      <c r="V91" s="14"/>
      <c r="W91" s="14"/>
      <c r="X91" s="14"/>
      <c r="Y91" s="14"/>
      <c r="Z91" s="14"/>
      <c r="AA91" s="9"/>
      <c r="AB91" s="9"/>
      <c r="AC91" s="9"/>
      <c r="AD91" s="9"/>
      <c r="AE91" s="7"/>
      <c r="AF91" s="12"/>
      <c r="AG91" s="12"/>
      <c r="AH91" s="12"/>
      <c r="AI91" s="7"/>
      <c r="AJ91" s="7"/>
      <c r="AK91" s="17"/>
      <c r="AL91" s="17"/>
      <c r="AM91" s="17"/>
      <c r="AN91" s="17"/>
      <c r="AO91" s="16"/>
      <c r="AP91" s="17"/>
      <c r="AQ91" s="17"/>
      <c r="AR91" s="17"/>
      <c r="AS91" s="17"/>
      <c r="AT91" s="17"/>
      <c r="AU91" s="16"/>
      <c r="AV91" s="17"/>
      <c r="AW91" s="17"/>
      <c r="AX91" s="17"/>
      <c r="AY91" s="17"/>
      <c r="AZ91" s="17"/>
      <c r="BA91" s="17"/>
      <c r="BB91" s="16"/>
      <c r="BC91" s="17"/>
      <c r="BD91" s="17"/>
      <c r="BE91" s="17"/>
      <c r="BF91" s="16"/>
      <c r="BG91" s="17"/>
      <c r="BH91" s="17"/>
      <c r="BI91" s="17"/>
      <c r="BJ91" s="17"/>
      <c r="BK91" s="17"/>
      <c r="BL91" s="17"/>
      <c r="BM91" s="17"/>
      <c r="BN91" s="16"/>
      <c r="BO91" s="17"/>
      <c r="BP91" s="17"/>
      <c r="BQ91" s="17"/>
      <c r="BR91" s="17"/>
      <c r="BS91" s="16"/>
      <c r="BT91" s="17"/>
      <c r="BU91" s="17"/>
      <c r="BV91" s="17"/>
      <c r="BW91" s="17"/>
      <c r="BX91" s="16"/>
      <c r="BY91" s="16"/>
      <c r="BZ91" s="17"/>
      <c r="CA91" s="17"/>
      <c r="CB91" s="17"/>
      <c r="CC91" s="17"/>
      <c r="CD91" s="16"/>
      <c r="CE91" s="17"/>
      <c r="CF91" s="17"/>
      <c r="CG91" s="17"/>
      <c r="CH91" s="17"/>
      <c r="CI91" s="16"/>
      <c r="CJ91" s="17"/>
      <c r="CK91" s="17"/>
      <c r="CL91" s="17"/>
      <c r="CM91" s="17"/>
      <c r="CN91" s="17"/>
      <c r="CO91" s="17"/>
      <c r="CP91" s="17"/>
      <c r="CQ91" s="16"/>
      <c r="CR91" s="17"/>
      <c r="CS91" s="17"/>
      <c r="CT91" s="17"/>
      <c r="CU91" s="17"/>
      <c r="CV91" s="17"/>
      <c r="CW91" s="16"/>
      <c r="CX91" s="17"/>
      <c r="CY91" s="16"/>
      <c r="CZ91" s="17"/>
      <c r="DA91" s="17"/>
      <c r="DB91" s="17"/>
      <c r="DC91" s="17"/>
      <c r="DD91" s="17"/>
    </row>
    <row r="92" spans="1:108" ht="15" customHeight="1">
      <c r="A92" s="7"/>
      <c r="B92" s="17"/>
      <c r="C92" s="17"/>
      <c r="D92" s="17"/>
      <c r="E92" s="14"/>
      <c r="F92" s="7"/>
      <c r="G92" s="14"/>
      <c r="H92" s="14"/>
      <c r="I92" s="14"/>
      <c r="J92" s="14"/>
      <c r="K92" s="14"/>
      <c r="L92" s="14"/>
      <c r="M92" s="14"/>
      <c r="N92" s="14"/>
      <c r="O92" s="14"/>
      <c r="P92" s="14"/>
      <c r="Q92" s="14"/>
      <c r="R92" s="14"/>
      <c r="S92" s="14"/>
      <c r="T92" s="14"/>
      <c r="U92" s="14"/>
      <c r="V92" s="14"/>
      <c r="W92" s="14"/>
      <c r="X92" s="14"/>
      <c r="Y92" s="14"/>
      <c r="Z92" s="14"/>
      <c r="AA92" s="9"/>
      <c r="AB92" s="9"/>
      <c r="AC92" s="9"/>
      <c r="AD92" s="9"/>
      <c r="AE92" s="7"/>
      <c r="AF92" s="12"/>
      <c r="AG92" s="12"/>
      <c r="AH92" s="12"/>
      <c r="AI92" s="7"/>
      <c r="AJ92" s="7"/>
      <c r="AK92" s="17"/>
      <c r="AL92" s="17"/>
      <c r="AM92" s="17"/>
      <c r="AN92" s="17"/>
      <c r="AO92" s="16"/>
      <c r="AP92" s="17"/>
      <c r="AQ92" s="17"/>
      <c r="AR92" s="17"/>
      <c r="AS92" s="17"/>
      <c r="AT92" s="17"/>
      <c r="AU92" s="16"/>
      <c r="AV92" s="17"/>
      <c r="AW92" s="17"/>
      <c r="AX92" s="17"/>
      <c r="AY92" s="17"/>
      <c r="AZ92" s="17"/>
      <c r="BA92" s="17"/>
      <c r="BB92" s="16"/>
      <c r="BC92" s="17"/>
      <c r="BD92" s="17"/>
      <c r="BE92" s="17"/>
      <c r="BF92" s="16"/>
      <c r="BG92" s="17"/>
      <c r="BH92" s="17"/>
      <c r="BI92" s="17"/>
      <c r="BJ92" s="17"/>
      <c r="BK92" s="17"/>
      <c r="BL92" s="17"/>
      <c r="BM92" s="17"/>
      <c r="BN92" s="16"/>
      <c r="BO92" s="17"/>
      <c r="BP92" s="17"/>
      <c r="BQ92" s="17"/>
      <c r="BR92" s="17"/>
      <c r="BS92" s="16"/>
      <c r="BT92" s="17"/>
      <c r="BU92" s="17"/>
      <c r="BV92" s="17"/>
      <c r="BW92" s="17"/>
      <c r="BX92" s="16"/>
      <c r="BY92" s="16"/>
      <c r="BZ92" s="17"/>
      <c r="CA92" s="17"/>
      <c r="CB92" s="17"/>
      <c r="CC92" s="17"/>
      <c r="CD92" s="16"/>
      <c r="CE92" s="17"/>
      <c r="CF92" s="17"/>
      <c r="CG92" s="17"/>
      <c r="CH92" s="17"/>
      <c r="CI92" s="16"/>
      <c r="CJ92" s="17"/>
      <c r="CK92" s="17"/>
      <c r="CL92" s="17"/>
      <c r="CM92" s="17"/>
      <c r="CN92" s="17"/>
      <c r="CO92" s="17"/>
      <c r="CP92" s="17"/>
      <c r="CQ92" s="16"/>
      <c r="CR92" s="17"/>
      <c r="CS92" s="17"/>
      <c r="CT92" s="17"/>
      <c r="CU92" s="17"/>
      <c r="CV92" s="17"/>
      <c r="CW92" s="16"/>
      <c r="CX92" s="17"/>
      <c r="CY92" s="16"/>
      <c r="CZ92" s="17"/>
      <c r="DA92" s="17"/>
      <c r="DB92" s="17"/>
      <c r="DC92" s="17"/>
      <c r="DD92" s="17"/>
    </row>
    <row r="93" spans="1:108" ht="15" customHeight="1">
      <c r="A93" s="7"/>
      <c r="B93" s="17"/>
      <c r="C93" s="17"/>
      <c r="D93" s="17"/>
      <c r="E93" s="14"/>
      <c r="F93" s="7"/>
      <c r="G93" s="14"/>
      <c r="H93" s="14"/>
      <c r="I93" s="14"/>
      <c r="J93" s="14"/>
      <c r="K93" s="14"/>
      <c r="L93" s="14"/>
      <c r="M93" s="14"/>
      <c r="N93" s="14"/>
      <c r="O93" s="14"/>
      <c r="P93" s="14"/>
      <c r="Q93" s="14"/>
      <c r="R93" s="14"/>
      <c r="S93" s="14"/>
      <c r="T93" s="14"/>
      <c r="U93" s="14"/>
      <c r="V93" s="14"/>
      <c r="W93" s="14"/>
      <c r="X93" s="14"/>
      <c r="Y93" s="14"/>
      <c r="Z93" s="14"/>
      <c r="AA93" s="9"/>
      <c r="AB93" s="9"/>
      <c r="AC93" s="9"/>
      <c r="AD93" s="9"/>
      <c r="AE93" s="7"/>
      <c r="AF93" s="12"/>
      <c r="AG93" s="12"/>
      <c r="AH93" s="12"/>
      <c r="AI93" s="7"/>
      <c r="AJ93" s="7"/>
      <c r="AK93" s="17"/>
      <c r="AL93" s="17"/>
      <c r="AM93" s="17"/>
      <c r="AN93" s="17"/>
      <c r="AO93" s="16"/>
      <c r="AP93" s="17"/>
      <c r="AQ93" s="17"/>
      <c r="AR93" s="17"/>
      <c r="AS93" s="17"/>
      <c r="AT93" s="17"/>
      <c r="AU93" s="16"/>
      <c r="AV93" s="17"/>
      <c r="AW93" s="17"/>
      <c r="AX93" s="17"/>
      <c r="AY93" s="17"/>
      <c r="AZ93" s="17"/>
      <c r="BA93" s="17"/>
      <c r="BB93" s="16"/>
      <c r="BC93" s="17"/>
      <c r="BD93" s="17"/>
      <c r="BE93" s="17"/>
      <c r="BF93" s="16"/>
      <c r="BG93" s="17"/>
      <c r="BH93" s="17"/>
      <c r="BI93" s="17"/>
      <c r="BJ93" s="17"/>
      <c r="BK93" s="17"/>
      <c r="BL93" s="17"/>
      <c r="BM93" s="17"/>
      <c r="BN93" s="16"/>
      <c r="BO93" s="17"/>
      <c r="BP93" s="17"/>
      <c r="BQ93" s="17"/>
      <c r="BR93" s="17"/>
      <c r="BS93" s="16"/>
      <c r="BT93" s="17"/>
      <c r="BU93" s="17"/>
      <c r="BV93" s="17"/>
      <c r="BW93" s="17"/>
      <c r="BX93" s="16"/>
      <c r="BY93" s="16"/>
      <c r="BZ93" s="17"/>
      <c r="CA93" s="17"/>
      <c r="CB93" s="17"/>
      <c r="CC93" s="17"/>
      <c r="CD93" s="16"/>
      <c r="CE93" s="17"/>
      <c r="CF93" s="17"/>
      <c r="CG93" s="17"/>
      <c r="CH93" s="17"/>
      <c r="CI93" s="16"/>
      <c r="CJ93" s="17"/>
      <c r="CK93" s="17"/>
      <c r="CL93" s="17"/>
      <c r="CM93" s="17"/>
      <c r="CN93" s="17"/>
      <c r="CO93" s="17"/>
      <c r="CP93" s="17"/>
      <c r="CQ93" s="16"/>
      <c r="CR93" s="17"/>
      <c r="CS93" s="17"/>
      <c r="CT93" s="17"/>
      <c r="CU93" s="17"/>
      <c r="CV93" s="17"/>
      <c r="CW93" s="16"/>
      <c r="CX93" s="17"/>
      <c r="CY93" s="16"/>
      <c r="CZ93" s="17"/>
      <c r="DA93" s="17"/>
      <c r="DB93" s="17"/>
      <c r="DC93" s="17"/>
      <c r="DD93" s="17"/>
    </row>
    <row r="94" spans="1:108" ht="15" customHeight="1">
      <c r="A94" s="7"/>
      <c r="B94" s="17"/>
      <c r="C94" s="17"/>
      <c r="D94" s="17"/>
      <c r="E94" s="14"/>
      <c r="F94" s="7"/>
      <c r="G94" s="14"/>
      <c r="H94" s="14"/>
      <c r="I94" s="14"/>
      <c r="J94" s="14"/>
      <c r="K94" s="14"/>
      <c r="L94" s="14"/>
      <c r="M94" s="14"/>
      <c r="N94" s="14"/>
      <c r="O94" s="14"/>
      <c r="P94" s="14"/>
      <c r="Q94" s="14"/>
      <c r="R94" s="14"/>
      <c r="S94" s="14"/>
      <c r="T94" s="14"/>
      <c r="U94" s="14"/>
      <c r="V94" s="14"/>
      <c r="W94" s="14"/>
      <c r="X94" s="14"/>
      <c r="Y94" s="14"/>
      <c r="Z94" s="14"/>
      <c r="AA94" s="9"/>
      <c r="AB94" s="9"/>
      <c r="AC94" s="9"/>
      <c r="AD94" s="9"/>
      <c r="AE94" s="7"/>
      <c r="AF94" s="12"/>
      <c r="AG94" s="12"/>
      <c r="AH94" s="12"/>
      <c r="AI94" s="7"/>
      <c r="AJ94" s="7"/>
      <c r="AK94" s="17"/>
      <c r="AL94" s="17"/>
      <c r="AM94" s="17"/>
      <c r="AN94" s="17"/>
      <c r="AO94" s="16"/>
      <c r="AP94" s="17"/>
      <c r="AQ94" s="17"/>
      <c r="AR94" s="17"/>
      <c r="AS94" s="17"/>
      <c r="AT94" s="17"/>
      <c r="AU94" s="16"/>
      <c r="AV94" s="17"/>
      <c r="AW94" s="17"/>
      <c r="AX94" s="17"/>
      <c r="AY94" s="17"/>
      <c r="AZ94" s="17"/>
      <c r="BA94" s="17"/>
      <c r="BB94" s="16"/>
      <c r="BC94" s="17"/>
      <c r="BD94" s="17"/>
      <c r="BE94" s="17"/>
      <c r="BF94" s="16"/>
      <c r="BG94" s="17"/>
      <c r="BH94" s="17"/>
      <c r="BI94" s="17"/>
      <c r="BJ94" s="17"/>
      <c r="BK94" s="17"/>
      <c r="BL94" s="17"/>
      <c r="BM94" s="17"/>
      <c r="BN94" s="16"/>
      <c r="BO94" s="17"/>
      <c r="BP94" s="17"/>
      <c r="BQ94" s="17"/>
      <c r="BR94" s="17"/>
      <c r="BS94" s="16"/>
      <c r="BT94" s="17"/>
      <c r="BU94" s="17"/>
      <c r="BV94" s="17"/>
      <c r="BW94" s="17"/>
      <c r="BX94" s="16"/>
      <c r="BY94" s="16"/>
      <c r="BZ94" s="17"/>
      <c r="CA94" s="17"/>
      <c r="CB94" s="17"/>
      <c r="CC94" s="17"/>
      <c r="CD94" s="16"/>
      <c r="CE94" s="17"/>
      <c r="CF94" s="17"/>
      <c r="CG94" s="17"/>
      <c r="CH94" s="17"/>
      <c r="CI94" s="16"/>
      <c r="CJ94" s="17"/>
      <c r="CK94" s="17"/>
      <c r="CL94" s="17"/>
      <c r="CM94" s="17"/>
      <c r="CN94" s="17"/>
      <c r="CO94" s="17"/>
      <c r="CP94" s="17"/>
      <c r="CQ94" s="16"/>
      <c r="CR94" s="17"/>
      <c r="CS94" s="17"/>
      <c r="CT94" s="17"/>
      <c r="CU94" s="17"/>
      <c r="CV94" s="17"/>
      <c r="CW94" s="16"/>
      <c r="CX94" s="17"/>
      <c r="CY94" s="16"/>
      <c r="CZ94" s="17"/>
      <c r="DA94" s="17"/>
      <c r="DB94" s="17"/>
      <c r="DC94" s="17"/>
      <c r="DD94" s="17"/>
    </row>
    <row r="95" spans="1:108" ht="15" customHeight="1">
      <c r="A95" s="7"/>
      <c r="B95" s="17"/>
      <c r="C95" s="17"/>
      <c r="D95" s="17"/>
      <c r="E95" s="14"/>
      <c r="F95" s="7"/>
      <c r="G95" s="14"/>
      <c r="H95" s="14"/>
      <c r="I95" s="14"/>
      <c r="J95" s="14"/>
      <c r="K95" s="14"/>
      <c r="L95" s="14"/>
      <c r="M95" s="14"/>
      <c r="N95" s="14"/>
      <c r="O95" s="14"/>
      <c r="P95" s="14"/>
      <c r="Q95" s="14"/>
      <c r="R95" s="14"/>
      <c r="S95" s="14"/>
      <c r="T95" s="14"/>
      <c r="U95" s="14"/>
      <c r="V95" s="14"/>
      <c r="W95" s="14"/>
      <c r="X95" s="14"/>
      <c r="Y95" s="14"/>
      <c r="Z95" s="14"/>
      <c r="AA95" s="9"/>
      <c r="AB95" s="9"/>
      <c r="AC95" s="9"/>
      <c r="AD95" s="9"/>
      <c r="AE95" s="7"/>
      <c r="AF95" s="12"/>
      <c r="AG95" s="12"/>
      <c r="AH95" s="12"/>
      <c r="AI95" s="7"/>
      <c r="AJ95" s="7"/>
      <c r="AK95" s="17"/>
      <c r="AL95" s="17"/>
      <c r="AM95" s="17"/>
      <c r="AN95" s="17"/>
      <c r="AO95" s="16"/>
      <c r="AP95" s="17"/>
      <c r="AQ95" s="17"/>
      <c r="AR95" s="17"/>
      <c r="AS95" s="17"/>
      <c r="AT95" s="17"/>
      <c r="AU95" s="16"/>
      <c r="AV95" s="17"/>
      <c r="AW95" s="17"/>
      <c r="AX95" s="17"/>
      <c r="AY95" s="17"/>
      <c r="AZ95" s="17"/>
      <c r="BA95" s="17"/>
      <c r="BB95" s="16"/>
      <c r="BC95" s="17"/>
      <c r="BD95" s="17"/>
      <c r="BE95" s="17"/>
      <c r="BF95" s="16"/>
      <c r="BG95" s="17"/>
      <c r="BH95" s="17"/>
      <c r="BI95" s="17"/>
      <c r="BJ95" s="17"/>
      <c r="BK95" s="17"/>
      <c r="BL95" s="17"/>
      <c r="BM95" s="17"/>
      <c r="BN95" s="16"/>
      <c r="BO95" s="17"/>
      <c r="BP95" s="17"/>
      <c r="BQ95" s="17"/>
      <c r="BR95" s="17"/>
      <c r="BS95" s="16"/>
      <c r="BT95" s="17"/>
      <c r="BU95" s="17"/>
      <c r="BV95" s="17"/>
      <c r="BW95" s="17"/>
      <c r="BX95" s="16"/>
      <c r="BY95" s="16"/>
      <c r="BZ95" s="17"/>
      <c r="CA95" s="17"/>
      <c r="CB95" s="17"/>
      <c r="CC95" s="17"/>
      <c r="CD95" s="16"/>
      <c r="CE95" s="17"/>
      <c r="CF95" s="17"/>
      <c r="CG95" s="17"/>
      <c r="CH95" s="17"/>
      <c r="CI95" s="16"/>
      <c r="CJ95" s="17"/>
      <c r="CK95" s="17"/>
      <c r="CL95" s="17"/>
      <c r="CM95" s="17"/>
      <c r="CN95" s="17"/>
      <c r="CO95" s="17"/>
      <c r="CP95" s="17"/>
      <c r="CQ95" s="16"/>
      <c r="CR95" s="17"/>
      <c r="CS95" s="17"/>
      <c r="CT95" s="17"/>
      <c r="CU95" s="17"/>
      <c r="CV95" s="17"/>
      <c r="CW95" s="16"/>
      <c r="CX95" s="17"/>
      <c r="CY95" s="16"/>
      <c r="CZ95" s="17"/>
      <c r="DA95" s="17"/>
      <c r="DB95" s="17"/>
      <c r="DC95" s="17"/>
      <c r="DD95" s="17"/>
    </row>
    <row r="96" spans="1:108" ht="15" customHeight="1">
      <c r="A96" s="7"/>
      <c r="B96" s="17"/>
      <c r="C96" s="17"/>
      <c r="D96" s="17"/>
      <c r="E96" s="14"/>
      <c r="F96" s="7"/>
      <c r="G96" s="14"/>
      <c r="H96" s="14"/>
      <c r="I96" s="14"/>
      <c r="J96" s="14"/>
      <c r="K96" s="14"/>
      <c r="L96" s="14"/>
      <c r="M96" s="14"/>
      <c r="N96" s="14"/>
      <c r="O96" s="14"/>
      <c r="P96" s="14"/>
      <c r="Q96" s="14"/>
      <c r="R96" s="14"/>
      <c r="S96" s="14"/>
      <c r="T96" s="14"/>
      <c r="U96" s="14"/>
      <c r="V96" s="14"/>
      <c r="W96" s="14"/>
      <c r="X96" s="14"/>
      <c r="Y96" s="14"/>
      <c r="Z96" s="14"/>
      <c r="AA96" s="9"/>
      <c r="AB96" s="9"/>
      <c r="AC96" s="9"/>
      <c r="AD96" s="9"/>
      <c r="AE96" s="7"/>
      <c r="AF96" s="12"/>
      <c r="AG96" s="12"/>
      <c r="AH96" s="12"/>
      <c r="AI96" s="7"/>
      <c r="AJ96" s="7"/>
      <c r="AK96" s="17"/>
      <c r="AL96" s="17"/>
      <c r="AM96" s="17"/>
      <c r="AN96" s="17"/>
      <c r="AO96" s="16"/>
      <c r="AP96" s="17"/>
      <c r="AQ96" s="17"/>
      <c r="AR96" s="17"/>
      <c r="AS96" s="17"/>
      <c r="AT96" s="17"/>
      <c r="AU96" s="16"/>
      <c r="AV96" s="17"/>
      <c r="AW96" s="17"/>
      <c r="AX96" s="17"/>
      <c r="AY96" s="17"/>
      <c r="AZ96" s="17"/>
      <c r="BA96" s="17"/>
      <c r="BB96" s="16"/>
      <c r="BC96" s="17"/>
      <c r="BD96" s="17"/>
      <c r="BE96" s="17"/>
      <c r="BF96" s="16"/>
      <c r="BG96" s="17"/>
      <c r="BH96" s="17"/>
      <c r="BI96" s="17"/>
      <c r="BJ96" s="17"/>
      <c r="BK96" s="17"/>
      <c r="BL96" s="17"/>
      <c r="BM96" s="17"/>
      <c r="BN96" s="16"/>
      <c r="BO96" s="17"/>
      <c r="BP96" s="17"/>
      <c r="BQ96" s="17"/>
      <c r="BR96" s="17"/>
      <c r="BS96" s="16"/>
      <c r="BT96" s="17"/>
      <c r="BU96" s="17"/>
      <c r="BV96" s="17"/>
      <c r="BW96" s="17"/>
      <c r="BX96" s="16"/>
      <c r="BY96" s="16"/>
      <c r="BZ96" s="17"/>
      <c r="CA96" s="17"/>
      <c r="CB96" s="17"/>
      <c r="CC96" s="17"/>
      <c r="CD96" s="16"/>
      <c r="CE96" s="17"/>
      <c r="CF96" s="17"/>
      <c r="CG96" s="17"/>
      <c r="CH96" s="17"/>
      <c r="CI96" s="16"/>
      <c r="CJ96" s="17"/>
      <c r="CK96" s="17"/>
      <c r="CL96" s="17"/>
      <c r="CM96" s="17"/>
      <c r="CN96" s="17"/>
      <c r="CO96" s="17"/>
      <c r="CP96" s="17"/>
      <c r="CQ96" s="16"/>
      <c r="CR96" s="17"/>
      <c r="CS96" s="17"/>
      <c r="CT96" s="17"/>
      <c r="CU96" s="17"/>
      <c r="CV96" s="17"/>
      <c r="CW96" s="16"/>
      <c r="CX96" s="17"/>
      <c r="CY96" s="16"/>
      <c r="CZ96" s="17"/>
      <c r="DA96" s="17"/>
      <c r="DB96" s="17"/>
      <c r="DC96" s="17"/>
      <c r="DD96" s="17"/>
    </row>
    <row r="97" spans="1:108" ht="15" customHeight="1">
      <c r="A97" s="7"/>
      <c r="B97" s="17"/>
      <c r="C97" s="17"/>
      <c r="D97" s="17"/>
      <c r="E97" s="14"/>
      <c r="F97" s="7"/>
      <c r="G97" s="14"/>
      <c r="H97" s="14"/>
      <c r="I97" s="14"/>
      <c r="J97" s="14"/>
      <c r="K97" s="14"/>
      <c r="L97" s="14"/>
      <c r="M97" s="14"/>
      <c r="N97" s="14"/>
      <c r="O97" s="14"/>
      <c r="P97" s="14"/>
      <c r="Q97" s="14"/>
      <c r="R97" s="14"/>
      <c r="S97" s="14"/>
      <c r="T97" s="14"/>
      <c r="U97" s="14"/>
      <c r="V97" s="14"/>
      <c r="W97" s="14"/>
      <c r="X97" s="14"/>
      <c r="Y97" s="14"/>
      <c r="Z97" s="14"/>
      <c r="AA97" s="9"/>
      <c r="AB97" s="9"/>
      <c r="AC97" s="9"/>
      <c r="AD97" s="9"/>
      <c r="AE97" s="7"/>
      <c r="AF97" s="12"/>
      <c r="AG97" s="12"/>
      <c r="AH97" s="12"/>
      <c r="AI97" s="7"/>
      <c r="AJ97" s="7"/>
      <c r="AK97" s="17"/>
      <c r="AL97" s="17"/>
      <c r="AM97" s="17"/>
      <c r="AN97" s="17"/>
      <c r="AO97" s="16"/>
      <c r="AP97" s="17"/>
      <c r="AQ97" s="17"/>
      <c r="AR97" s="17"/>
      <c r="AS97" s="17"/>
      <c r="AT97" s="17"/>
      <c r="AU97" s="16"/>
      <c r="AV97" s="17"/>
      <c r="AW97" s="17"/>
      <c r="AX97" s="17"/>
      <c r="AY97" s="17"/>
      <c r="AZ97" s="17"/>
      <c r="BA97" s="17"/>
      <c r="BB97" s="16"/>
      <c r="BC97" s="17"/>
      <c r="BD97" s="17"/>
      <c r="BE97" s="17"/>
      <c r="BF97" s="16"/>
      <c r="BG97" s="17"/>
      <c r="BH97" s="17"/>
      <c r="BI97" s="17"/>
      <c r="BJ97" s="17"/>
      <c r="BK97" s="17"/>
      <c r="BL97" s="17"/>
      <c r="BM97" s="17"/>
      <c r="BN97" s="16"/>
      <c r="BO97" s="17"/>
      <c r="BP97" s="17"/>
      <c r="BQ97" s="17"/>
      <c r="BR97" s="17"/>
      <c r="BS97" s="16"/>
      <c r="BT97" s="17"/>
      <c r="BU97" s="17"/>
      <c r="BV97" s="17"/>
      <c r="BW97" s="17"/>
      <c r="BX97" s="16"/>
      <c r="BY97" s="16"/>
      <c r="BZ97" s="17"/>
      <c r="CA97" s="17"/>
      <c r="CB97" s="17"/>
      <c r="CC97" s="17"/>
      <c r="CD97" s="16"/>
      <c r="CE97" s="17"/>
      <c r="CF97" s="17"/>
      <c r="CG97" s="17"/>
      <c r="CH97" s="17"/>
      <c r="CI97" s="16"/>
      <c r="CJ97" s="17"/>
      <c r="CK97" s="17"/>
      <c r="CL97" s="17"/>
      <c r="CM97" s="17"/>
      <c r="CN97" s="17"/>
      <c r="CO97" s="17"/>
      <c r="CP97" s="17"/>
      <c r="CQ97" s="16"/>
      <c r="CR97" s="17"/>
      <c r="CS97" s="17"/>
      <c r="CT97" s="17"/>
      <c r="CU97" s="17"/>
      <c r="CV97" s="17"/>
      <c r="CW97" s="16"/>
      <c r="CX97" s="17"/>
      <c r="CY97" s="16"/>
      <c r="CZ97" s="17"/>
      <c r="DA97" s="17"/>
      <c r="DB97" s="17"/>
      <c r="DC97" s="17"/>
      <c r="DD97" s="17"/>
    </row>
    <row r="98" spans="1:108" ht="15" customHeight="1">
      <c r="A98" s="7"/>
      <c r="B98" s="17"/>
      <c r="C98" s="17"/>
      <c r="D98" s="17"/>
      <c r="E98" s="14"/>
      <c r="F98" s="7"/>
      <c r="G98" s="14"/>
      <c r="H98" s="14"/>
      <c r="I98" s="14"/>
      <c r="J98" s="14"/>
      <c r="K98" s="14"/>
      <c r="L98" s="14"/>
      <c r="M98" s="14"/>
      <c r="N98" s="14"/>
      <c r="O98" s="14"/>
      <c r="P98" s="14"/>
      <c r="Q98" s="14"/>
      <c r="R98" s="14"/>
      <c r="S98" s="14"/>
      <c r="T98" s="14"/>
      <c r="U98" s="14"/>
      <c r="V98" s="14"/>
      <c r="W98" s="14"/>
      <c r="X98" s="14"/>
      <c r="Y98" s="14"/>
      <c r="Z98" s="14"/>
      <c r="AA98" s="9"/>
      <c r="AB98" s="9"/>
      <c r="AC98" s="9"/>
      <c r="AD98" s="9"/>
      <c r="AE98" s="7"/>
      <c r="AF98" s="12"/>
      <c r="AG98" s="12"/>
      <c r="AH98" s="12"/>
      <c r="AI98" s="7"/>
      <c r="AJ98" s="7"/>
      <c r="AK98" s="17"/>
      <c r="AL98" s="17"/>
      <c r="AM98" s="17"/>
      <c r="AN98" s="17"/>
      <c r="AO98" s="16"/>
      <c r="AP98" s="17"/>
      <c r="AQ98" s="17"/>
      <c r="AR98" s="17"/>
      <c r="AS98" s="17"/>
      <c r="AT98" s="17"/>
      <c r="AU98" s="16"/>
      <c r="AV98" s="17"/>
      <c r="AW98" s="17"/>
      <c r="AX98" s="17"/>
      <c r="AY98" s="17"/>
      <c r="AZ98" s="17"/>
      <c r="BA98" s="17"/>
      <c r="BB98" s="16"/>
      <c r="BC98" s="17"/>
      <c r="BD98" s="17"/>
      <c r="BE98" s="17"/>
      <c r="BF98" s="16"/>
      <c r="BG98" s="17"/>
      <c r="BH98" s="17"/>
      <c r="BI98" s="17"/>
      <c r="BJ98" s="17"/>
      <c r="BK98" s="17"/>
      <c r="BL98" s="17"/>
      <c r="BM98" s="17"/>
      <c r="BN98" s="16"/>
      <c r="BO98" s="17"/>
      <c r="BP98" s="17"/>
      <c r="BQ98" s="17"/>
      <c r="BR98" s="17"/>
      <c r="BS98" s="16"/>
      <c r="BT98" s="17"/>
      <c r="BU98" s="17"/>
      <c r="BV98" s="17"/>
      <c r="BW98" s="17"/>
      <c r="BX98" s="16"/>
      <c r="BY98" s="16"/>
      <c r="BZ98" s="17"/>
      <c r="CA98" s="17"/>
      <c r="CB98" s="17"/>
      <c r="CC98" s="17"/>
      <c r="CD98" s="16"/>
      <c r="CE98" s="17"/>
      <c r="CF98" s="17"/>
      <c r="CG98" s="17"/>
      <c r="CH98" s="17"/>
      <c r="CI98" s="16"/>
      <c r="CJ98" s="17"/>
      <c r="CK98" s="17"/>
      <c r="CL98" s="17"/>
      <c r="CM98" s="17"/>
      <c r="CN98" s="17"/>
      <c r="CO98" s="17"/>
      <c r="CP98" s="17"/>
      <c r="CQ98" s="16"/>
      <c r="CR98" s="17"/>
      <c r="CS98" s="17"/>
      <c r="CT98" s="17"/>
      <c r="CU98" s="17"/>
      <c r="CV98" s="17"/>
      <c r="CW98" s="16"/>
      <c r="CX98" s="17"/>
      <c r="CY98" s="16"/>
      <c r="CZ98" s="17"/>
      <c r="DA98" s="17"/>
      <c r="DB98" s="17"/>
      <c r="DC98" s="17"/>
      <c r="DD98" s="17"/>
    </row>
    <row r="99" spans="1:108" ht="15" customHeight="1">
      <c r="A99" s="7"/>
      <c r="B99" s="17"/>
      <c r="C99" s="17"/>
      <c r="D99" s="17"/>
      <c r="E99" s="14"/>
      <c r="F99" s="7"/>
      <c r="G99" s="14"/>
      <c r="H99" s="14"/>
      <c r="I99" s="14"/>
      <c r="J99" s="14"/>
      <c r="K99" s="14"/>
      <c r="L99" s="14"/>
      <c r="M99" s="14"/>
      <c r="N99" s="14"/>
      <c r="O99" s="14"/>
      <c r="P99" s="14"/>
      <c r="Q99" s="14"/>
      <c r="R99" s="14"/>
      <c r="S99" s="14"/>
      <c r="T99" s="14"/>
      <c r="U99" s="14"/>
      <c r="V99" s="14"/>
      <c r="W99" s="14"/>
      <c r="X99" s="14"/>
      <c r="Y99" s="14"/>
      <c r="Z99" s="14"/>
      <c r="AA99" s="9"/>
      <c r="AB99" s="9"/>
      <c r="AC99" s="9"/>
      <c r="AD99" s="9"/>
      <c r="AE99" s="7"/>
      <c r="AF99" s="12"/>
      <c r="AG99" s="12"/>
      <c r="AH99" s="12"/>
      <c r="AI99" s="7"/>
      <c r="AJ99" s="7"/>
      <c r="AK99" s="17"/>
      <c r="AL99" s="17"/>
      <c r="AM99" s="17"/>
      <c r="AN99" s="17"/>
      <c r="AO99" s="16"/>
      <c r="AP99" s="17"/>
      <c r="AQ99" s="17"/>
      <c r="AR99" s="17"/>
      <c r="AS99" s="17"/>
      <c r="AT99" s="17"/>
      <c r="AU99" s="16"/>
      <c r="AV99" s="17"/>
      <c r="AW99" s="17"/>
      <c r="AX99" s="17"/>
      <c r="AY99" s="17"/>
      <c r="AZ99" s="17"/>
      <c r="BA99" s="17"/>
      <c r="BB99" s="16"/>
      <c r="BC99" s="17"/>
      <c r="BD99" s="17"/>
      <c r="BE99" s="17"/>
      <c r="BF99" s="16"/>
      <c r="BG99" s="17"/>
      <c r="BH99" s="17"/>
      <c r="BI99" s="17"/>
      <c r="BJ99" s="17"/>
      <c r="BK99" s="17"/>
      <c r="BL99" s="17"/>
      <c r="BM99" s="17"/>
      <c r="BN99" s="16"/>
      <c r="BO99" s="17"/>
      <c r="BP99" s="17"/>
      <c r="BQ99" s="17"/>
      <c r="BR99" s="17"/>
      <c r="BS99" s="16"/>
      <c r="BT99" s="17"/>
      <c r="BU99" s="17"/>
      <c r="BV99" s="17"/>
      <c r="BW99" s="17"/>
      <c r="BX99" s="16"/>
      <c r="BY99" s="16"/>
      <c r="BZ99" s="17"/>
      <c r="CA99" s="17"/>
      <c r="CB99" s="17"/>
      <c r="CC99" s="17"/>
      <c r="CD99" s="16"/>
      <c r="CE99" s="17"/>
      <c r="CF99" s="17"/>
      <c r="CG99" s="17"/>
      <c r="CH99" s="17"/>
      <c r="CI99" s="16"/>
      <c r="CJ99" s="17"/>
      <c r="CK99" s="17"/>
      <c r="CL99" s="17"/>
      <c r="CM99" s="17"/>
      <c r="CN99" s="17"/>
      <c r="CO99" s="17"/>
      <c r="CP99" s="17"/>
      <c r="CQ99" s="16"/>
      <c r="CR99" s="17"/>
      <c r="CS99" s="17"/>
      <c r="CT99" s="17"/>
      <c r="CU99" s="17"/>
      <c r="CV99" s="17"/>
      <c r="CW99" s="16"/>
      <c r="CX99" s="17"/>
      <c r="CY99" s="16"/>
      <c r="CZ99" s="17"/>
      <c r="DA99" s="17"/>
      <c r="DB99" s="17"/>
      <c r="DC99" s="17"/>
      <c r="DD99" s="17"/>
    </row>
    <row r="100" spans="1:108" ht="15" customHeight="1">
      <c r="A100" s="7"/>
      <c r="B100" s="17"/>
      <c r="C100" s="17"/>
      <c r="D100" s="17"/>
      <c r="E100" s="14"/>
      <c r="F100" s="7"/>
      <c r="G100" s="14"/>
      <c r="H100" s="14"/>
      <c r="I100" s="14"/>
      <c r="J100" s="14"/>
      <c r="K100" s="14"/>
      <c r="L100" s="14"/>
      <c r="M100" s="14"/>
      <c r="N100" s="14"/>
      <c r="O100" s="14"/>
      <c r="P100" s="14"/>
      <c r="Q100" s="14"/>
      <c r="R100" s="14"/>
      <c r="S100" s="14"/>
      <c r="T100" s="14"/>
      <c r="U100" s="14"/>
      <c r="V100" s="14"/>
      <c r="W100" s="14"/>
      <c r="X100" s="14"/>
      <c r="Y100" s="14"/>
      <c r="Z100" s="14"/>
      <c r="AA100" s="9"/>
      <c r="AB100" s="9"/>
      <c r="AC100" s="9"/>
      <c r="AD100" s="9"/>
      <c r="AE100" s="7"/>
      <c r="AF100" s="12"/>
      <c r="AG100" s="12"/>
      <c r="AH100" s="12"/>
      <c r="AI100" s="7"/>
      <c r="AJ100" s="7"/>
      <c r="AK100" s="17"/>
      <c r="AL100" s="17"/>
      <c r="AM100" s="17"/>
      <c r="AN100" s="17"/>
      <c r="AO100" s="16"/>
      <c r="AP100" s="17"/>
      <c r="AQ100" s="17"/>
      <c r="AR100" s="17"/>
      <c r="AS100" s="17"/>
      <c r="AT100" s="17"/>
      <c r="AU100" s="16"/>
      <c r="AV100" s="17"/>
      <c r="AW100" s="17"/>
      <c r="AX100" s="17"/>
      <c r="AY100" s="17"/>
      <c r="AZ100" s="17"/>
      <c r="BA100" s="17"/>
      <c r="BB100" s="16"/>
      <c r="BC100" s="17"/>
      <c r="BD100" s="17"/>
      <c r="BE100" s="17"/>
      <c r="BF100" s="16"/>
      <c r="BG100" s="17"/>
      <c r="BH100" s="17"/>
      <c r="BI100" s="17"/>
      <c r="BJ100" s="17"/>
      <c r="BK100" s="17"/>
      <c r="BL100" s="17"/>
      <c r="BM100" s="17"/>
      <c r="BN100" s="16"/>
      <c r="BO100" s="17"/>
      <c r="BP100" s="17"/>
      <c r="BQ100" s="17"/>
      <c r="BR100" s="17"/>
      <c r="BS100" s="16"/>
      <c r="BT100" s="17"/>
      <c r="BU100" s="17"/>
      <c r="BV100" s="17"/>
      <c r="BW100" s="17"/>
      <c r="BX100" s="16"/>
      <c r="BY100" s="16"/>
      <c r="BZ100" s="17"/>
      <c r="CA100" s="17"/>
      <c r="CB100" s="17"/>
      <c r="CC100" s="17"/>
      <c r="CD100" s="16"/>
      <c r="CE100" s="17"/>
      <c r="CF100" s="17"/>
      <c r="CG100" s="17"/>
      <c r="CH100" s="17"/>
      <c r="CI100" s="16"/>
      <c r="CJ100" s="17"/>
      <c r="CK100" s="17"/>
      <c r="CL100" s="17"/>
      <c r="CM100" s="17"/>
      <c r="CN100" s="17"/>
      <c r="CO100" s="17"/>
      <c r="CP100" s="17"/>
      <c r="CQ100" s="16"/>
      <c r="CR100" s="17"/>
      <c r="CS100" s="17"/>
      <c r="CT100" s="17"/>
      <c r="CU100" s="17"/>
      <c r="CV100" s="17"/>
      <c r="CW100" s="16"/>
      <c r="CX100" s="17"/>
      <c r="CY100" s="16"/>
      <c r="CZ100" s="17"/>
      <c r="DA100" s="17"/>
      <c r="DB100" s="17"/>
      <c r="DC100" s="17"/>
      <c r="DD100" s="17"/>
    </row>
    <row r="101" spans="1:108" ht="15" customHeight="1">
      <c r="A101" s="7"/>
      <c r="B101" s="17"/>
      <c r="C101" s="17"/>
      <c r="D101" s="17"/>
      <c r="E101" s="14"/>
      <c r="F101" s="7"/>
      <c r="G101" s="14"/>
      <c r="H101" s="14"/>
      <c r="I101" s="14"/>
      <c r="J101" s="14"/>
      <c r="K101" s="14"/>
      <c r="L101" s="14"/>
      <c r="M101" s="14"/>
      <c r="N101" s="14"/>
      <c r="O101" s="14"/>
      <c r="P101" s="14"/>
      <c r="Q101" s="14"/>
      <c r="R101" s="14"/>
      <c r="S101" s="14"/>
      <c r="T101" s="14"/>
      <c r="U101" s="14"/>
      <c r="V101" s="14"/>
      <c r="W101" s="14"/>
      <c r="X101" s="14"/>
      <c r="Y101" s="14"/>
      <c r="Z101" s="14"/>
      <c r="AA101" s="9"/>
      <c r="AB101" s="9"/>
      <c r="AC101" s="9"/>
      <c r="AD101" s="9"/>
      <c r="AE101" s="7"/>
      <c r="AF101" s="12"/>
      <c r="AG101" s="12"/>
      <c r="AH101" s="12"/>
      <c r="AI101" s="7"/>
      <c r="AJ101" s="7"/>
      <c r="AK101" s="17"/>
      <c r="AL101" s="17"/>
      <c r="AM101" s="17"/>
      <c r="AN101" s="17"/>
      <c r="AO101" s="16"/>
      <c r="AP101" s="17"/>
      <c r="AQ101" s="17"/>
      <c r="AR101" s="17"/>
      <c r="AS101" s="17"/>
      <c r="AT101" s="17"/>
      <c r="AU101" s="16"/>
      <c r="AV101" s="17"/>
      <c r="AW101" s="17"/>
      <c r="AX101" s="17"/>
      <c r="AY101" s="17"/>
      <c r="AZ101" s="17"/>
      <c r="BA101" s="17"/>
      <c r="BB101" s="16"/>
      <c r="BC101" s="17"/>
      <c r="BD101" s="17"/>
      <c r="BE101" s="17"/>
      <c r="BF101" s="16"/>
      <c r="BG101" s="17"/>
      <c r="BH101" s="17"/>
      <c r="BI101" s="17"/>
      <c r="BJ101" s="17"/>
      <c r="BK101" s="17"/>
      <c r="BL101" s="17"/>
      <c r="BM101" s="17"/>
      <c r="BN101" s="16"/>
      <c r="BO101" s="17"/>
      <c r="BP101" s="17"/>
      <c r="BQ101" s="17"/>
      <c r="BR101" s="17"/>
      <c r="BS101" s="16"/>
      <c r="BT101" s="17"/>
      <c r="BU101" s="17"/>
      <c r="BV101" s="17"/>
      <c r="BW101" s="17"/>
      <c r="BX101" s="16"/>
      <c r="BY101" s="17"/>
      <c r="BZ101" s="17"/>
      <c r="CA101" s="17"/>
      <c r="CB101" s="17"/>
      <c r="CC101" s="17"/>
      <c r="CD101" s="16"/>
      <c r="CE101" s="17"/>
      <c r="CF101" s="17"/>
      <c r="CG101" s="17"/>
      <c r="CH101" s="17"/>
      <c r="CI101" s="16"/>
      <c r="CJ101" s="17"/>
      <c r="CK101" s="17"/>
      <c r="CL101" s="17"/>
      <c r="CM101" s="17"/>
      <c r="CN101" s="17"/>
      <c r="CO101" s="17"/>
      <c r="CP101" s="17"/>
      <c r="CQ101" s="16"/>
      <c r="CR101" s="17"/>
      <c r="CS101" s="17"/>
      <c r="CT101" s="17"/>
      <c r="CU101" s="17"/>
      <c r="CV101" s="17"/>
      <c r="CW101" s="16"/>
      <c r="CX101" s="17"/>
      <c r="CY101" s="17"/>
      <c r="CZ101" s="17"/>
      <c r="DA101" s="17"/>
      <c r="DB101" s="17"/>
      <c r="DC101" s="17"/>
      <c r="DD101" s="17"/>
    </row>
    <row r="102" spans="1:108" ht="15" customHeight="1">
      <c r="A102" s="7"/>
      <c r="B102" s="17"/>
      <c r="C102" s="17"/>
      <c r="D102" s="17"/>
      <c r="E102" s="14"/>
      <c r="F102" s="14"/>
      <c r="G102" s="14"/>
      <c r="H102" s="14"/>
      <c r="I102" s="14"/>
      <c r="J102" s="14"/>
      <c r="K102" s="14"/>
      <c r="L102" s="14"/>
      <c r="M102" s="14"/>
      <c r="N102" s="14"/>
      <c r="O102" s="14"/>
      <c r="P102" s="14"/>
      <c r="Q102" s="14"/>
      <c r="R102" s="14"/>
      <c r="S102" s="14"/>
      <c r="T102" s="14"/>
      <c r="U102" s="14"/>
      <c r="V102" s="14"/>
      <c r="W102" s="14"/>
      <c r="X102" s="14"/>
      <c r="Y102" s="14"/>
      <c r="Z102" s="14"/>
      <c r="AA102" s="9"/>
      <c r="AB102" s="9"/>
      <c r="AC102" s="9"/>
      <c r="AD102" s="9"/>
      <c r="AE102" s="7"/>
      <c r="AF102" s="12"/>
      <c r="AG102" s="12"/>
      <c r="AH102" s="12"/>
      <c r="AI102" s="12"/>
      <c r="AJ102" s="7"/>
      <c r="AK102" s="17"/>
      <c r="AL102" s="17"/>
      <c r="AM102" s="17"/>
      <c r="AN102" s="17"/>
      <c r="AO102" s="16"/>
      <c r="AP102" s="17"/>
      <c r="AQ102" s="17"/>
      <c r="AR102" s="17"/>
      <c r="AS102" s="17"/>
      <c r="AT102" s="17"/>
      <c r="AU102" s="16"/>
      <c r="AV102" s="17"/>
      <c r="AW102" s="17"/>
      <c r="AX102" s="17"/>
      <c r="AY102" s="17"/>
      <c r="AZ102" s="17"/>
      <c r="BA102" s="17"/>
      <c r="BB102" s="16"/>
      <c r="BC102" s="17"/>
      <c r="BD102" s="17"/>
      <c r="BE102" s="17"/>
      <c r="BF102" s="16"/>
      <c r="BG102" s="17"/>
      <c r="BH102" s="17"/>
      <c r="BI102" s="17"/>
      <c r="BJ102" s="17"/>
      <c r="BK102" s="17"/>
      <c r="BL102" s="17"/>
      <c r="BM102" s="17"/>
      <c r="BN102" s="16"/>
      <c r="BO102" s="17"/>
      <c r="BP102" s="17"/>
      <c r="BQ102" s="17"/>
      <c r="BR102" s="17"/>
      <c r="BS102" s="16"/>
      <c r="BT102" s="17"/>
      <c r="BU102" s="17"/>
      <c r="BV102" s="17"/>
      <c r="BW102" s="17"/>
      <c r="BX102" s="16"/>
      <c r="BY102" s="16"/>
      <c r="BZ102" s="17"/>
      <c r="CA102" s="17"/>
      <c r="CB102" s="17"/>
      <c r="CC102" s="17"/>
      <c r="CD102" s="16"/>
      <c r="CE102" s="17"/>
      <c r="CF102" s="17"/>
      <c r="CG102" s="17"/>
      <c r="CH102" s="17"/>
      <c r="CI102" s="16"/>
      <c r="CJ102" s="17"/>
      <c r="CK102" s="17"/>
      <c r="CL102" s="17"/>
      <c r="CM102" s="17"/>
      <c r="CN102" s="17"/>
      <c r="CO102" s="17"/>
      <c r="CP102" s="17"/>
      <c r="CQ102" s="16"/>
      <c r="CR102" s="17"/>
      <c r="CS102" s="17"/>
      <c r="CT102" s="17"/>
      <c r="CU102" s="17"/>
      <c r="CV102" s="17"/>
      <c r="CW102" s="16"/>
      <c r="CX102" s="17"/>
      <c r="CY102" s="17"/>
      <c r="CZ102" s="17"/>
      <c r="DA102" s="17"/>
      <c r="DB102" s="17"/>
      <c r="DC102" s="17"/>
      <c r="DD102" s="17"/>
    </row>
    <row r="103" spans="1:108" ht="15" customHeight="1">
      <c r="A103" s="7"/>
      <c r="B103" s="17"/>
      <c r="C103" s="17"/>
      <c r="D103" s="17"/>
      <c r="E103" s="14"/>
      <c r="F103" s="14"/>
      <c r="G103" s="14"/>
      <c r="H103" s="14"/>
      <c r="I103" s="14"/>
      <c r="J103" s="14"/>
      <c r="K103" s="14"/>
      <c r="L103" s="14"/>
      <c r="M103" s="14"/>
      <c r="N103" s="14"/>
      <c r="O103" s="14"/>
      <c r="P103" s="14"/>
      <c r="Q103" s="14"/>
      <c r="R103" s="14"/>
      <c r="S103" s="14"/>
      <c r="T103" s="14"/>
      <c r="U103" s="14"/>
      <c r="V103" s="14"/>
      <c r="W103" s="14"/>
      <c r="X103" s="14"/>
      <c r="Y103" s="14"/>
      <c r="Z103" s="14"/>
      <c r="AA103" s="9"/>
      <c r="AB103" s="9"/>
      <c r="AC103" s="9"/>
      <c r="AD103" s="9"/>
      <c r="AE103" s="7"/>
      <c r="AF103" s="12"/>
      <c r="AG103" s="12"/>
      <c r="AH103" s="12"/>
      <c r="AI103" s="12"/>
      <c r="AJ103" s="7"/>
      <c r="AK103" s="17"/>
      <c r="AL103" s="17"/>
      <c r="AM103" s="17"/>
      <c r="AN103" s="17"/>
      <c r="AO103" s="16"/>
      <c r="AP103" s="17"/>
      <c r="AQ103" s="17"/>
      <c r="AR103" s="17"/>
      <c r="AS103" s="17"/>
      <c r="AT103" s="17"/>
      <c r="AU103" s="16"/>
      <c r="AV103" s="17"/>
      <c r="AW103" s="17"/>
      <c r="AX103" s="17"/>
      <c r="AY103" s="17"/>
      <c r="AZ103" s="17"/>
      <c r="BA103" s="17"/>
      <c r="BB103" s="16"/>
      <c r="BC103" s="17"/>
      <c r="BD103" s="17"/>
      <c r="BE103" s="17"/>
      <c r="BF103" s="16"/>
      <c r="BG103" s="17"/>
      <c r="BH103" s="17"/>
      <c r="BI103" s="17"/>
      <c r="BJ103" s="17"/>
      <c r="BK103" s="17"/>
      <c r="BL103" s="17"/>
      <c r="BM103" s="17"/>
      <c r="BN103" s="16"/>
      <c r="BO103" s="17"/>
      <c r="BP103" s="17"/>
      <c r="BQ103" s="17"/>
      <c r="BR103" s="17"/>
      <c r="BS103" s="16"/>
      <c r="BT103" s="17"/>
      <c r="BU103" s="17"/>
      <c r="BV103" s="17"/>
      <c r="BW103" s="17"/>
      <c r="BX103" s="16"/>
      <c r="BY103" s="16"/>
      <c r="BZ103" s="17"/>
      <c r="CA103" s="17"/>
      <c r="CB103" s="17"/>
      <c r="CC103" s="17"/>
      <c r="CD103" s="16"/>
      <c r="CE103" s="17"/>
      <c r="CF103" s="17"/>
      <c r="CG103" s="17"/>
      <c r="CH103" s="17"/>
      <c r="CI103" s="16"/>
      <c r="CJ103" s="17"/>
      <c r="CK103" s="17"/>
      <c r="CL103" s="17"/>
      <c r="CM103" s="17"/>
      <c r="CN103" s="17"/>
      <c r="CO103" s="17"/>
      <c r="CP103" s="17"/>
      <c r="CQ103" s="16"/>
      <c r="CR103" s="17"/>
      <c r="CS103" s="17"/>
      <c r="CT103" s="17"/>
      <c r="CU103" s="17"/>
      <c r="CV103" s="17"/>
      <c r="CW103" s="16"/>
      <c r="CX103" s="17"/>
      <c r="CY103" s="17"/>
      <c r="CZ103" s="17"/>
      <c r="DA103" s="17"/>
      <c r="DB103" s="17"/>
      <c r="DC103" s="17"/>
      <c r="DD103" s="17"/>
    </row>
    <row r="104" spans="1:108" ht="15" customHeight="1">
      <c r="A104" s="7"/>
      <c r="B104" s="17"/>
      <c r="C104" s="17"/>
      <c r="D104" s="17"/>
      <c r="E104" s="14"/>
      <c r="F104" s="14"/>
      <c r="G104" s="14"/>
      <c r="H104" s="14"/>
      <c r="I104" s="14"/>
      <c r="J104" s="14"/>
      <c r="K104" s="14"/>
      <c r="L104" s="14"/>
      <c r="M104" s="14"/>
      <c r="N104" s="14"/>
      <c r="O104" s="14"/>
      <c r="P104" s="14"/>
      <c r="Q104" s="14"/>
      <c r="R104" s="14"/>
      <c r="S104" s="14"/>
      <c r="T104" s="14"/>
      <c r="U104" s="14"/>
      <c r="V104" s="14"/>
      <c r="W104" s="14"/>
      <c r="X104" s="14"/>
      <c r="Y104" s="14"/>
      <c r="Z104" s="14"/>
      <c r="AA104" s="9"/>
      <c r="AB104" s="9"/>
      <c r="AC104" s="9"/>
      <c r="AD104" s="9"/>
      <c r="AE104" s="7"/>
      <c r="AF104" s="12"/>
      <c r="AG104" s="12"/>
      <c r="AH104" s="12"/>
      <c r="AI104" s="12"/>
      <c r="AJ104" s="7"/>
      <c r="AK104" s="17"/>
      <c r="AL104" s="17"/>
      <c r="AM104" s="17"/>
      <c r="AN104" s="17"/>
      <c r="AO104" s="16"/>
      <c r="AP104" s="17"/>
      <c r="AQ104" s="17"/>
      <c r="AR104" s="17"/>
      <c r="AS104" s="17"/>
      <c r="AT104" s="17"/>
      <c r="AU104" s="16"/>
      <c r="AV104" s="17"/>
      <c r="AW104" s="17"/>
      <c r="AX104" s="17"/>
      <c r="AY104" s="17"/>
      <c r="AZ104" s="17"/>
      <c r="BA104" s="17"/>
      <c r="BB104" s="16"/>
      <c r="BC104" s="17"/>
      <c r="BD104" s="17"/>
      <c r="BE104" s="17"/>
      <c r="BF104" s="16"/>
      <c r="BG104" s="17"/>
      <c r="BH104" s="17"/>
      <c r="BI104" s="17"/>
      <c r="BJ104" s="17"/>
      <c r="BK104" s="17"/>
      <c r="BL104" s="17"/>
      <c r="BM104" s="17"/>
      <c r="BN104" s="16"/>
      <c r="BO104" s="17"/>
      <c r="BP104" s="17"/>
      <c r="BQ104" s="17"/>
      <c r="BR104" s="17"/>
      <c r="BS104" s="16"/>
      <c r="BT104" s="17"/>
      <c r="BU104" s="17"/>
      <c r="BV104" s="17"/>
      <c r="BW104" s="17"/>
      <c r="BX104" s="16"/>
      <c r="BY104" s="16"/>
      <c r="BZ104" s="17"/>
      <c r="CA104" s="17"/>
      <c r="CB104" s="17"/>
      <c r="CC104" s="17"/>
      <c r="CD104" s="16"/>
      <c r="CE104" s="17"/>
      <c r="CF104" s="17"/>
      <c r="CG104" s="17"/>
      <c r="CH104" s="17"/>
      <c r="CI104" s="16"/>
      <c r="CJ104" s="17"/>
      <c r="CK104" s="17"/>
      <c r="CL104" s="17"/>
      <c r="CM104" s="17"/>
      <c r="CN104" s="17"/>
      <c r="CO104" s="17"/>
      <c r="CP104" s="17"/>
      <c r="CQ104" s="16"/>
      <c r="CR104" s="17"/>
      <c r="CS104" s="17"/>
      <c r="CT104" s="17"/>
      <c r="CU104" s="17"/>
      <c r="CV104" s="17"/>
      <c r="CW104" s="16"/>
      <c r="CX104" s="17"/>
      <c r="CY104" s="17"/>
      <c r="CZ104" s="17"/>
      <c r="DA104" s="17"/>
      <c r="DB104" s="17"/>
      <c r="DC104" s="17"/>
      <c r="DD104" s="17"/>
    </row>
    <row r="105" spans="1:108" ht="15" customHeight="1">
      <c r="A105" s="7"/>
      <c r="B105" s="17"/>
      <c r="C105" s="17"/>
      <c r="D105" s="17"/>
      <c r="E105" s="14"/>
      <c r="F105" s="14"/>
      <c r="G105" s="14"/>
      <c r="H105" s="14"/>
      <c r="I105" s="14"/>
      <c r="J105" s="14"/>
      <c r="K105" s="14"/>
      <c r="L105" s="14"/>
      <c r="M105" s="14"/>
      <c r="N105" s="14"/>
      <c r="O105" s="14"/>
      <c r="P105" s="14"/>
      <c r="Q105" s="14"/>
      <c r="R105" s="14"/>
      <c r="S105" s="14"/>
      <c r="T105" s="14"/>
      <c r="U105" s="14"/>
      <c r="V105" s="14"/>
      <c r="W105" s="14"/>
      <c r="X105" s="14"/>
      <c r="Y105" s="14"/>
      <c r="Z105" s="14"/>
      <c r="AA105" s="9"/>
      <c r="AB105" s="9"/>
      <c r="AC105" s="9"/>
      <c r="AD105" s="9"/>
      <c r="AE105" s="7"/>
      <c r="AF105" s="12"/>
      <c r="AG105" s="12"/>
      <c r="AH105" s="12"/>
      <c r="AI105" s="12"/>
      <c r="AJ105" s="7"/>
      <c r="AK105" s="17"/>
      <c r="AL105" s="17"/>
      <c r="AM105" s="17"/>
      <c r="AN105" s="17"/>
      <c r="AO105" s="16"/>
      <c r="AP105" s="17"/>
      <c r="AQ105" s="17"/>
      <c r="AR105" s="17"/>
      <c r="AS105" s="17"/>
      <c r="AT105" s="17"/>
      <c r="AU105" s="16"/>
      <c r="AV105" s="17"/>
      <c r="AW105" s="17"/>
      <c r="AX105" s="17"/>
      <c r="AY105" s="17"/>
      <c r="AZ105" s="17"/>
      <c r="BA105" s="17"/>
      <c r="BB105" s="16"/>
      <c r="BC105" s="17"/>
      <c r="BD105" s="17"/>
      <c r="BE105" s="17"/>
      <c r="BF105" s="16"/>
      <c r="BG105" s="17"/>
      <c r="BH105" s="17"/>
      <c r="BI105" s="17"/>
      <c r="BJ105" s="17"/>
      <c r="BK105" s="17"/>
      <c r="BL105" s="17"/>
      <c r="BM105" s="17"/>
      <c r="BN105" s="16"/>
      <c r="BO105" s="17"/>
      <c r="BP105" s="17"/>
      <c r="BQ105" s="17"/>
      <c r="BR105" s="17"/>
      <c r="BS105" s="16"/>
      <c r="BT105" s="17"/>
      <c r="BU105" s="17"/>
      <c r="BV105" s="17"/>
      <c r="BW105" s="17"/>
      <c r="BX105" s="16"/>
      <c r="BY105" s="16"/>
      <c r="BZ105" s="17"/>
      <c r="CA105" s="17"/>
      <c r="CB105" s="17"/>
      <c r="CC105" s="17"/>
      <c r="CD105" s="16"/>
      <c r="CE105" s="17"/>
      <c r="CF105" s="17"/>
      <c r="CG105" s="17"/>
      <c r="CH105" s="17"/>
      <c r="CI105" s="16"/>
      <c r="CJ105" s="17"/>
      <c r="CK105" s="17"/>
      <c r="CL105" s="17"/>
      <c r="CM105" s="17"/>
      <c r="CN105" s="17"/>
      <c r="CO105" s="17"/>
      <c r="CP105" s="17"/>
      <c r="CQ105" s="16"/>
      <c r="CR105" s="17"/>
      <c r="CS105" s="17"/>
      <c r="CT105" s="17"/>
      <c r="CU105" s="17"/>
      <c r="CV105" s="17"/>
      <c r="CW105" s="16"/>
      <c r="CX105" s="17"/>
      <c r="CY105" s="17"/>
      <c r="CZ105" s="17"/>
      <c r="DA105" s="17"/>
      <c r="DB105" s="17"/>
      <c r="DC105" s="17"/>
      <c r="DD105" s="17"/>
    </row>
    <row r="106" spans="1:108" ht="15" customHeight="1">
      <c r="A106" s="7"/>
      <c r="B106" s="17"/>
      <c r="C106" s="17"/>
      <c r="D106" s="17"/>
      <c r="E106" s="14"/>
      <c r="F106" s="14"/>
      <c r="G106" s="14"/>
      <c r="H106" s="14"/>
      <c r="I106" s="14"/>
      <c r="J106" s="14"/>
      <c r="K106" s="14"/>
      <c r="L106" s="14"/>
      <c r="M106" s="14"/>
      <c r="N106" s="14"/>
      <c r="O106" s="14"/>
      <c r="P106" s="14"/>
      <c r="Q106" s="14"/>
      <c r="R106" s="14"/>
      <c r="S106" s="14"/>
      <c r="T106" s="14"/>
      <c r="U106" s="14"/>
      <c r="V106" s="14"/>
      <c r="W106" s="14"/>
      <c r="X106" s="14"/>
      <c r="Y106" s="14"/>
      <c r="Z106" s="14"/>
      <c r="AA106" s="9"/>
      <c r="AB106" s="9"/>
      <c r="AC106" s="9"/>
      <c r="AD106" s="9"/>
      <c r="AE106" s="7"/>
      <c r="AF106" s="12"/>
      <c r="AG106" s="12"/>
      <c r="AH106" s="12"/>
      <c r="AI106" s="12"/>
      <c r="AJ106" s="7"/>
      <c r="AK106" s="17"/>
      <c r="AL106" s="17"/>
      <c r="AM106" s="17"/>
      <c r="AN106" s="17"/>
      <c r="AO106" s="16"/>
      <c r="AP106" s="17"/>
      <c r="AQ106" s="17"/>
      <c r="AR106" s="17"/>
      <c r="AS106" s="17"/>
      <c r="AT106" s="17"/>
      <c r="AU106" s="16"/>
      <c r="AV106" s="17"/>
      <c r="AW106" s="17"/>
      <c r="AX106" s="17"/>
      <c r="AY106" s="17"/>
      <c r="AZ106" s="17"/>
      <c r="BA106" s="17"/>
      <c r="BB106" s="16"/>
      <c r="BC106" s="17"/>
      <c r="BD106" s="17"/>
      <c r="BE106" s="17"/>
      <c r="BF106" s="16"/>
      <c r="BG106" s="17"/>
      <c r="BH106" s="17"/>
      <c r="BI106" s="17"/>
      <c r="BJ106" s="17"/>
      <c r="BK106" s="17"/>
      <c r="BL106" s="17"/>
      <c r="BM106" s="17"/>
      <c r="BN106" s="16"/>
      <c r="BO106" s="17"/>
      <c r="BP106" s="17"/>
      <c r="BQ106" s="17"/>
      <c r="BR106" s="17"/>
      <c r="BS106" s="16"/>
      <c r="BT106" s="17"/>
      <c r="BU106" s="17"/>
      <c r="BV106" s="17"/>
      <c r="BW106" s="17"/>
      <c r="BX106" s="16"/>
      <c r="BY106" s="16"/>
      <c r="BZ106" s="17"/>
      <c r="CA106" s="17"/>
      <c r="CB106" s="17"/>
      <c r="CC106" s="17"/>
      <c r="CD106" s="16"/>
      <c r="CE106" s="17"/>
      <c r="CF106" s="17"/>
      <c r="CG106" s="17"/>
      <c r="CH106" s="17"/>
      <c r="CI106" s="16"/>
      <c r="CJ106" s="17"/>
      <c r="CK106" s="17"/>
      <c r="CL106" s="17"/>
      <c r="CM106" s="17"/>
      <c r="CN106" s="17"/>
      <c r="CO106" s="17"/>
      <c r="CP106" s="17"/>
      <c r="CQ106" s="16"/>
      <c r="CR106" s="17"/>
      <c r="CS106" s="17"/>
      <c r="CT106" s="17"/>
      <c r="CU106" s="17"/>
      <c r="CV106" s="17"/>
      <c r="CW106" s="16"/>
      <c r="CX106" s="17"/>
      <c r="CY106" s="17"/>
      <c r="CZ106" s="17"/>
      <c r="DA106" s="17"/>
      <c r="DB106" s="17"/>
      <c r="DC106" s="17"/>
      <c r="DD106" s="17"/>
    </row>
    <row r="107" spans="1:108" ht="15" customHeight="1">
      <c r="A107" s="7"/>
      <c r="B107" s="17"/>
      <c r="C107" s="17"/>
      <c r="D107" s="17"/>
      <c r="E107" s="14"/>
      <c r="F107" s="14"/>
      <c r="G107" s="14"/>
      <c r="H107" s="14"/>
      <c r="I107" s="14"/>
      <c r="J107" s="14"/>
      <c r="K107" s="14"/>
      <c r="L107" s="14"/>
      <c r="M107" s="14"/>
      <c r="N107" s="14"/>
      <c r="O107" s="14"/>
      <c r="P107" s="14"/>
      <c r="Q107" s="14"/>
      <c r="R107" s="14"/>
      <c r="S107" s="14"/>
      <c r="T107" s="14"/>
      <c r="U107" s="14"/>
      <c r="V107" s="14"/>
      <c r="W107" s="14"/>
      <c r="X107" s="14"/>
      <c r="Y107" s="14"/>
      <c r="Z107" s="14"/>
      <c r="AA107" s="9"/>
      <c r="AB107" s="9"/>
      <c r="AC107" s="9"/>
      <c r="AD107" s="9"/>
      <c r="AE107" s="7"/>
      <c r="AF107" s="12"/>
      <c r="AG107" s="12"/>
      <c r="AH107" s="12"/>
      <c r="AI107" s="12"/>
      <c r="AJ107" s="7"/>
      <c r="AK107" s="17"/>
      <c r="AL107" s="17"/>
      <c r="AM107" s="17"/>
      <c r="AN107" s="17"/>
      <c r="AO107" s="16"/>
      <c r="AP107" s="17"/>
      <c r="AQ107" s="17"/>
      <c r="AR107" s="17"/>
      <c r="AS107" s="17"/>
      <c r="AT107" s="17"/>
      <c r="AU107" s="16"/>
      <c r="AV107" s="17"/>
      <c r="AW107" s="17"/>
      <c r="AX107" s="17"/>
      <c r="AY107" s="17"/>
      <c r="AZ107" s="17"/>
      <c r="BA107" s="17"/>
      <c r="BB107" s="16"/>
      <c r="BC107" s="17"/>
      <c r="BD107" s="17"/>
      <c r="BE107" s="17"/>
      <c r="BF107" s="16"/>
      <c r="BG107" s="17"/>
      <c r="BH107" s="17"/>
      <c r="BI107" s="17"/>
      <c r="BJ107" s="17"/>
      <c r="BK107" s="17"/>
      <c r="BL107" s="17"/>
      <c r="BM107" s="17"/>
      <c r="BN107" s="16"/>
      <c r="BO107" s="17"/>
      <c r="BP107" s="17"/>
      <c r="BQ107" s="17"/>
      <c r="BR107" s="17"/>
      <c r="BS107" s="16"/>
      <c r="BT107" s="17"/>
      <c r="BU107" s="17"/>
      <c r="BV107" s="17"/>
      <c r="BW107" s="17"/>
      <c r="BX107" s="16"/>
      <c r="BY107" s="16"/>
      <c r="BZ107" s="17"/>
      <c r="CA107" s="17"/>
      <c r="CB107" s="17"/>
      <c r="CC107" s="17"/>
      <c r="CD107" s="16"/>
      <c r="CE107" s="17"/>
      <c r="CF107" s="17"/>
      <c r="CG107" s="17"/>
      <c r="CH107" s="17"/>
      <c r="CI107" s="16"/>
      <c r="CJ107" s="17"/>
      <c r="CK107" s="17"/>
      <c r="CL107" s="17"/>
      <c r="CM107" s="17"/>
      <c r="CN107" s="17"/>
      <c r="CO107" s="17"/>
      <c r="CP107" s="17"/>
      <c r="CQ107" s="16"/>
      <c r="CR107" s="17"/>
      <c r="CS107" s="17"/>
      <c r="CT107" s="17"/>
      <c r="CU107" s="17"/>
      <c r="CV107" s="17"/>
      <c r="CW107" s="16"/>
      <c r="CX107" s="17"/>
      <c r="CY107" s="17"/>
      <c r="CZ107" s="17"/>
      <c r="DA107" s="17"/>
      <c r="DB107" s="17"/>
      <c r="DC107" s="17"/>
      <c r="DD107" s="17"/>
    </row>
    <row r="108" spans="1:108" ht="15" customHeight="1">
      <c r="A108" s="7"/>
      <c r="B108" s="17"/>
      <c r="C108" s="17"/>
      <c r="D108" s="17"/>
      <c r="E108" s="14"/>
      <c r="F108" s="14"/>
      <c r="G108" s="14"/>
      <c r="H108" s="14"/>
      <c r="I108" s="14"/>
      <c r="J108" s="14"/>
      <c r="K108" s="14"/>
      <c r="L108" s="14"/>
      <c r="M108" s="14"/>
      <c r="N108" s="14"/>
      <c r="O108" s="14"/>
      <c r="P108" s="14"/>
      <c r="Q108" s="14"/>
      <c r="R108" s="14"/>
      <c r="S108" s="14"/>
      <c r="T108" s="14"/>
      <c r="U108" s="14"/>
      <c r="V108" s="14"/>
      <c r="W108" s="14"/>
      <c r="X108" s="14"/>
      <c r="Y108" s="14"/>
      <c r="Z108" s="14"/>
      <c r="AA108" s="9"/>
      <c r="AB108" s="9"/>
      <c r="AC108" s="9"/>
      <c r="AD108" s="9"/>
      <c r="AE108" s="7"/>
      <c r="AF108" s="12"/>
      <c r="AG108" s="12"/>
      <c r="AH108" s="12"/>
      <c r="AI108" s="12"/>
      <c r="AJ108" s="7"/>
      <c r="AK108" s="17"/>
      <c r="AL108" s="17"/>
      <c r="AM108" s="17"/>
      <c r="AN108" s="17"/>
      <c r="AO108" s="16"/>
      <c r="AP108" s="17"/>
      <c r="AQ108" s="17"/>
      <c r="AR108" s="17"/>
      <c r="AS108" s="17"/>
      <c r="AT108" s="17"/>
      <c r="AU108" s="16"/>
      <c r="AV108" s="17"/>
      <c r="AW108" s="17"/>
      <c r="AX108" s="17"/>
      <c r="AY108" s="17"/>
      <c r="AZ108" s="17"/>
      <c r="BA108" s="17"/>
      <c r="BB108" s="16"/>
      <c r="BC108" s="17"/>
      <c r="BD108" s="17"/>
      <c r="BE108" s="17"/>
      <c r="BF108" s="16"/>
      <c r="BG108" s="17"/>
      <c r="BH108" s="17"/>
      <c r="BI108" s="17"/>
      <c r="BJ108" s="17"/>
      <c r="BK108" s="17"/>
      <c r="BL108" s="17"/>
      <c r="BM108" s="17"/>
      <c r="BN108" s="17"/>
      <c r="BO108" s="17"/>
      <c r="BP108" s="17"/>
      <c r="BQ108" s="17"/>
      <c r="BR108" s="17"/>
      <c r="BS108" s="16"/>
      <c r="BT108" s="17"/>
      <c r="BU108" s="17"/>
      <c r="BV108" s="17"/>
      <c r="BW108" s="17"/>
      <c r="BX108" s="16"/>
      <c r="BY108" s="16"/>
      <c r="BZ108" s="17"/>
      <c r="CA108" s="17"/>
      <c r="CB108" s="17"/>
      <c r="CC108" s="17"/>
      <c r="CD108" s="16"/>
      <c r="CE108" s="17"/>
      <c r="CF108" s="17"/>
      <c r="CG108" s="17"/>
      <c r="CH108" s="17"/>
      <c r="CI108" s="16"/>
      <c r="CJ108" s="17"/>
      <c r="CK108" s="17"/>
      <c r="CL108" s="17"/>
      <c r="CM108" s="17"/>
      <c r="CN108" s="17"/>
      <c r="CO108" s="17"/>
      <c r="CP108" s="17"/>
      <c r="CQ108" s="16"/>
      <c r="CR108" s="17"/>
      <c r="CS108" s="17"/>
      <c r="CT108" s="17"/>
      <c r="CU108" s="17"/>
      <c r="CV108" s="17"/>
      <c r="CW108" s="16"/>
      <c r="CX108" s="17"/>
      <c r="CY108" s="17"/>
      <c r="CZ108" s="17"/>
      <c r="DA108" s="17"/>
      <c r="DB108" s="17"/>
      <c r="DC108" s="17"/>
      <c r="DD108" s="17"/>
    </row>
    <row r="109" spans="1:108" ht="15" customHeight="1">
      <c r="A109" s="7"/>
      <c r="B109" s="17"/>
      <c r="C109" s="17"/>
      <c r="D109" s="17"/>
      <c r="E109" s="14"/>
      <c r="F109" s="14"/>
      <c r="G109" s="14"/>
      <c r="H109" s="14"/>
      <c r="I109" s="14"/>
      <c r="J109" s="14"/>
      <c r="K109" s="14"/>
      <c r="L109" s="14"/>
      <c r="M109" s="14"/>
      <c r="N109" s="14"/>
      <c r="O109" s="14"/>
      <c r="P109" s="14"/>
      <c r="Q109" s="14"/>
      <c r="R109" s="14"/>
      <c r="S109" s="14"/>
      <c r="T109" s="14"/>
      <c r="U109" s="14"/>
      <c r="V109" s="14"/>
      <c r="W109" s="14"/>
      <c r="X109" s="14"/>
      <c r="Y109" s="14"/>
      <c r="Z109" s="14"/>
      <c r="AA109" s="9"/>
      <c r="AB109" s="9"/>
      <c r="AC109" s="9"/>
      <c r="AD109" s="9"/>
      <c r="AE109" s="7"/>
      <c r="AF109" s="12"/>
      <c r="AG109" s="12"/>
      <c r="AH109" s="12"/>
      <c r="AI109" s="12"/>
      <c r="AJ109" s="7"/>
      <c r="AK109" s="17"/>
      <c r="AL109" s="17"/>
      <c r="AM109" s="17"/>
      <c r="AN109" s="17"/>
      <c r="AO109" s="16"/>
      <c r="AP109" s="17"/>
      <c r="AQ109" s="17"/>
      <c r="AR109" s="17"/>
      <c r="AS109" s="17"/>
      <c r="AT109" s="17"/>
      <c r="AU109" s="17"/>
      <c r="AV109" s="17"/>
      <c r="AW109" s="17"/>
      <c r="AX109" s="17"/>
      <c r="AY109" s="17"/>
      <c r="AZ109" s="17"/>
      <c r="BA109" s="17"/>
      <c r="BB109" s="16"/>
      <c r="BC109" s="17"/>
      <c r="BD109" s="17"/>
      <c r="BE109" s="17"/>
      <c r="BF109" s="17"/>
      <c r="BG109" s="17"/>
      <c r="BH109" s="17"/>
      <c r="BI109" s="17"/>
      <c r="BJ109" s="17"/>
      <c r="BK109" s="17"/>
      <c r="BL109" s="17"/>
      <c r="BM109" s="17"/>
      <c r="BN109" s="17"/>
      <c r="BO109" s="17"/>
      <c r="BP109" s="17"/>
      <c r="BQ109" s="17"/>
      <c r="BR109" s="17"/>
      <c r="BS109" s="16"/>
      <c r="BT109" s="17"/>
      <c r="BU109" s="17"/>
      <c r="BV109" s="17"/>
      <c r="BW109" s="17"/>
      <c r="BX109" s="16"/>
      <c r="BY109" s="16"/>
      <c r="BZ109" s="17"/>
      <c r="CA109" s="17"/>
      <c r="CB109" s="17"/>
      <c r="CC109" s="17"/>
      <c r="CD109" s="16"/>
      <c r="CE109" s="17"/>
      <c r="CF109" s="17"/>
      <c r="CG109" s="17"/>
      <c r="CH109" s="17"/>
      <c r="CI109" s="16"/>
      <c r="CJ109" s="17"/>
      <c r="CK109" s="17"/>
      <c r="CL109" s="17"/>
      <c r="CM109" s="17"/>
      <c r="CN109" s="17"/>
      <c r="CO109" s="17"/>
      <c r="CP109" s="17"/>
      <c r="CQ109" s="16"/>
      <c r="CR109" s="17"/>
      <c r="CS109" s="17"/>
      <c r="CT109" s="17"/>
      <c r="CU109" s="17"/>
      <c r="CV109" s="17"/>
      <c r="CW109" s="16"/>
      <c r="CX109" s="17"/>
      <c r="CY109" s="17"/>
      <c r="CZ109" s="17"/>
      <c r="DA109" s="17"/>
      <c r="DB109" s="17"/>
      <c r="DC109" s="17"/>
      <c r="DD109" s="17"/>
    </row>
    <row r="110" spans="1:108" ht="15" customHeight="1">
      <c r="A110" s="7"/>
      <c r="B110" s="17"/>
      <c r="C110" s="17"/>
      <c r="D110" s="17"/>
      <c r="E110" s="14"/>
      <c r="F110" s="14"/>
      <c r="G110" s="14"/>
      <c r="H110" s="14"/>
      <c r="I110" s="14"/>
      <c r="J110" s="14"/>
      <c r="K110" s="14"/>
      <c r="L110" s="14"/>
      <c r="M110" s="14"/>
      <c r="N110" s="14"/>
      <c r="O110" s="14"/>
      <c r="P110" s="14"/>
      <c r="Q110" s="14"/>
      <c r="R110" s="14"/>
      <c r="S110" s="14"/>
      <c r="T110" s="14"/>
      <c r="U110" s="14"/>
      <c r="V110" s="14"/>
      <c r="W110" s="14"/>
      <c r="X110" s="14"/>
      <c r="Y110" s="14"/>
      <c r="Z110" s="14"/>
      <c r="AA110" s="9"/>
      <c r="AB110" s="9"/>
      <c r="AC110" s="9"/>
      <c r="AD110" s="9"/>
      <c r="AE110" s="7"/>
      <c r="AF110" s="12"/>
      <c r="AG110" s="12"/>
      <c r="AH110" s="12"/>
      <c r="AI110" s="12"/>
      <c r="AJ110" s="7"/>
      <c r="AK110" s="17"/>
      <c r="AL110" s="17"/>
      <c r="AM110" s="17"/>
      <c r="AN110" s="17"/>
      <c r="AO110" s="16"/>
      <c r="AP110" s="17"/>
      <c r="AQ110" s="17"/>
      <c r="AR110" s="17"/>
      <c r="AS110" s="17"/>
      <c r="AT110" s="17"/>
      <c r="AU110" s="17"/>
      <c r="AV110" s="17"/>
      <c r="AW110" s="17"/>
      <c r="AX110" s="17"/>
      <c r="AY110" s="17"/>
      <c r="AZ110" s="17"/>
      <c r="BA110" s="17"/>
      <c r="BB110" s="16"/>
      <c r="BC110" s="17"/>
      <c r="BD110" s="17"/>
      <c r="BE110" s="17"/>
      <c r="BF110" s="17"/>
      <c r="BG110" s="17"/>
      <c r="BH110" s="17"/>
      <c r="BI110" s="17"/>
      <c r="BJ110" s="17"/>
      <c r="BK110" s="17"/>
      <c r="BL110" s="17"/>
      <c r="BM110" s="17"/>
      <c r="BN110" s="17"/>
      <c r="BO110" s="17"/>
      <c r="BP110" s="17"/>
      <c r="BQ110" s="17"/>
      <c r="BR110" s="17"/>
      <c r="BS110" s="16"/>
      <c r="BT110" s="17"/>
      <c r="BU110" s="17"/>
      <c r="BV110" s="17"/>
      <c r="BW110" s="17"/>
      <c r="BX110" s="16"/>
      <c r="BY110" s="16"/>
      <c r="BZ110" s="17"/>
      <c r="CA110" s="17"/>
      <c r="CB110" s="17"/>
      <c r="CC110" s="17"/>
      <c r="CD110" s="16"/>
      <c r="CE110" s="17"/>
      <c r="CF110" s="17"/>
      <c r="CG110" s="17"/>
      <c r="CH110" s="17"/>
      <c r="CI110" s="16"/>
      <c r="CJ110" s="17"/>
      <c r="CK110" s="17"/>
      <c r="CL110" s="17"/>
      <c r="CM110" s="17"/>
      <c r="CN110" s="17"/>
      <c r="CO110" s="17"/>
      <c r="CP110" s="17"/>
      <c r="CQ110" s="16"/>
      <c r="CR110" s="17"/>
      <c r="CS110" s="17"/>
      <c r="CT110" s="17"/>
      <c r="CU110" s="17"/>
      <c r="CV110" s="17"/>
      <c r="CW110" s="16"/>
      <c r="CX110" s="17"/>
      <c r="CY110" s="17"/>
      <c r="CZ110" s="17"/>
      <c r="DA110" s="17"/>
      <c r="DB110" s="17"/>
      <c r="DC110" s="17"/>
      <c r="DD110" s="17"/>
    </row>
    <row r="111" spans="1:108" ht="15" customHeight="1">
      <c r="A111" s="7"/>
      <c r="B111" s="17"/>
      <c r="C111" s="17"/>
      <c r="D111" s="17"/>
      <c r="E111" s="14"/>
      <c r="F111" s="14"/>
      <c r="G111" s="14"/>
      <c r="H111" s="14"/>
      <c r="I111" s="14"/>
      <c r="J111" s="14"/>
      <c r="K111" s="14"/>
      <c r="L111" s="14"/>
      <c r="M111" s="14"/>
      <c r="N111" s="14"/>
      <c r="O111" s="14"/>
      <c r="P111" s="14"/>
      <c r="Q111" s="14"/>
      <c r="R111" s="14"/>
      <c r="S111" s="14"/>
      <c r="T111" s="14"/>
      <c r="U111" s="14"/>
      <c r="V111" s="14"/>
      <c r="W111" s="14"/>
      <c r="X111" s="14"/>
      <c r="Y111" s="14"/>
      <c r="Z111" s="14"/>
      <c r="AA111" s="9"/>
      <c r="AB111" s="9"/>
      <c r="AC111" s="9"/>
      <c r="AD111" s="9"/>
      <c r="AE111" s="7"/>
      <c r="AF111" s="12"/>
      <c r="AG111" s="12"/>
      <c r="AH111" s="12"/>
      <c r="AI111" s="12"/>
      <c r="AJ111" s="7"/>
      <c r="AK111" s="17"/>
      <c r="AL111" s="17"/>
      <c r="AM111" s="17"/>
      <c r="AN111" s="17"/>
      <c r="AO111" s="16"/>
      <c r="AP111" s="17"/>
      <c r="AQ111" s="17"/>
      <c r="AR111" s="17"/>
      <c r="AS111" s="17"/>
      <c r="AT111" s="17"/>
      <c r="AU111" s="17"/>
      <c r="AV111" s="17"/>
      <c r="AW111" s="17"/>
      <c r="AX111" s="17"/>
      <c r="AY111" s="17"/>
      <c r="AZ111" s="17"/>
      <c r="BA111" s="17"/>
      <c r="BB111" s="16"/>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6"/>
      <c r="BY111" s="16"/>
      <c r="BZ111" s="17"/>
      <c r="CA111" s="17"/>
      <c r="CB111" s="17"/>
      <c r="CC111" s="17"/>
      <c r="CD111" s="16"/>
      <c r="CE111" s="17"/>
      <c r="CF111" s="17"/>
      <c r="CG111" s="17"/>
      <c r="CH111" s="17"/>
      <c r="CI111" s="16"/>
      <c r="CJ111" s="17"/>
      <c r="CK111" s="17"/>
      <c r="CL111" s="17"/>
      <c r="CM111" s="17"/>
      <c r="CN111" s="17"/>
      <c r="CO111" s="17"/>
      <c r="CP111" s="17"/>
      <c r="CQ111" s="16"/>
      <c r="CR111" s="17"/>
      <c r="CS111" s="17"/>
      <c r="CT111" s="17"/>
      <c r="CU111" s="17"/>
      <c r="CV111" s="17"/>
      <c r="CW111" s="16"/>
      <c r="CX111" s="17"/>
      <c r="CY111" s="17"/>
      <c r="CZ111" s="17"/>
      <c r="DA111" s="17"/>
      <c r="DB111" s="17"/>
      <c r="DC111" s="17"/>
      <c r="DD111" s="17"/>
    </row>
    <row r="112" spans="1:108" ht="15" customHeight="1">
      <c r="A112" s="7"/>
      <c r="B112" s="17"/>
      <c r="C112" s="17"/>
      <c r="D112" s="17"/>
      <c r="E112" s="14"/>
      <c r="F112" s="14"/>
      <c r="G112" s="14"/>
      <c r="H112" s="14"/>
      <c r="I112" s="14"/>
      <c r="J112" s="14"/>
      <c r="K112" s="14"/>
      <c r="L112" s="14"/>
      <c r="M112" s="14"/>
      <c r="N112" s="14"/>
      <c r="O112" s="14"/>
      <c r="P112" s="14"/>
      <c r="Q112" s="14"/>
      <c r="R112" s="14"/>
      <c r="S112" s="14"/>
      <c r="T112" s="14"/>
      <c r="U112" s="14"/>
      <c r="V112" s="14"/>
      <c r="W112" s="14"/>
      <c r="X112" s="14"/>
      <c r="Y112" s="14"/>
      <c r="Z112" s="14"/>
      <c r="AA112" s="9"/>
      <c r="AB112" s="9"/>
      <c r="AC112" s="9"/>
      <c r="AD112" s="9"/>
      <c r="AE112" s="7"/>
      <c r="AF112" s="12"/>
      <c r="AG112" s="12"/>
      <c r="AH112" s="12"/>
      <c r="AI112" s="12"/>
      <c r="AJ112" s="7"/>
      <c r="AK112" s="17"/>
      <c r="AL112" s="17"/>
      <c r="AM112" s="17"/>
      <c r="AN112" s="17"/>
      <c r="AO112" s="17"/>
      <c r="AP112" s="17"/>
      <c r="AQ112" s="17"/>
      <c r="AR112" s="17"/>
      <c r="AS112" s="17"/>
      <c r="AT112" s="17"/>
      <c r="AU112" s="17"/>
      <c r="AV112" s="17"/>
      <c r="AW112" s="17"/>
      <c r="AX112" s="17"/>
      <c r="AY112" s="17"/>
      <c r="AZ112" s="17"/>
      <c r="BA112" s="17"/>
      <c r="BB112" s="16"/>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6"/>
      <c r="BY112" s="16"/>
      <c r="BZ112" s="17"/>
      <c r="CA112" s="17"/>
      <c r="CB112" s="17"/>
      <c r="CC112" s="17"/>
      <c r="CD112" s="16"/>
      <c r="CE112" s="17"/>
      <c r="CF112" s="17"/>
      <c r="CG112" s="17"/>
      <c r="CH112" s="17"/>
      <c r="CI112" s="16"/>
      <c r="CJ112" s="17"/>
      <c r="CK112" s="17"/>
      <c r="CL112" s="17"/>
      <c r="CM112" s="17"/>
      <c r="CN112" s="17"/>
      <c r="CO112" s="17"/>
      <c r="CP112" s="17"/>
      <c r="CQ112" s="16"/>
      <c r="CR112" s="17"/>
      <c r="CS112" s="17"/>
      <c r="CT112" s="17"/>
      <c r="CU112" s="17"/>
      <c r="CV112" s="17"/>
      <c r="CW112" s="16"/>
      <c r="CX112" s="17"/>
      <c r="CY112" s="17"/>
      <c r="CZ112" s="17"/>
      <c r="DA112" s="17"/>
      <c r="DB112" s="17"/>
      <c r="DC112" s="17"/>
      <c r="DD112" s="17"/>
    </row>
    <row r="113" spans="1:108" ht="15" customHeight="1">
      <c r="A113" s="7"/>
      <c r="B113" s="17"/>
      <c r="C113" s="17"/>
      <c r="D113" s="17"/>
      <c r="E113" s="14"/>
      <c r="F113" s="14"/>
      <c r="G113" s="14"/>
      <c r="H113" s="14"/>
      <c r="I113" s="14"/>
      <c r="J113" s="14"/>
      <c r="K113" s="14"/>
      <c r="L113" s="14"/>
      <c r="M113" s="14"/>
      <c r="N113" s="14"/>
      <c r="O113" s="14"/>
      <c r="P113" s="14"/>
      <c r="Q113" s="14"/>
      <c r="R113" s="14"/>
      <c r="S113" s="14"/>
      <c r="T113" s="14"/>
      <c r="U113" s="14"/>
      <c r="V113" s="14"/>
      <c r="W113" s="14"/>
      <c r="X113" s="14"/>
      <c r="Y113" s="14"/>
      <c r="Z113" s="14"/>
      <c r="AA113" s="9"/>
      <c r="AB113" s="9"/>
      <c r="AC113" s="9"/>
      <c r="AD113" s="9"/>
      <c r="AE113" s="7"/>
      <c r="AF113" s="12"/>
      <c r="AG113" s="12"/>
      <c r="AH113" s="12"/>
      <c r="AI113" s="12"/>
      <c r="AJ113" s="7"/>
      <c r="AK113" s="17"/>
      <c r="AL113" s="17"/>
      <c r="AM113" s="17"/>
      <c r="AN113" s="17"/>
      <c r="AO113" s="17"/>
      <c r="AP113" s="17"/>
      <c r="AQ113" s="17"/>
      <c r="AR113" s="17"/>
      <c r="AS113" s="17"/>
      <c r="AT113" s="17"/>
      <c r="AU113" s="17"/>
      <c r="AV113" s="17"/>
      <c r="AW113" s="17"/>
      <c r="AX113" s="17"/>
      <c r="AY113" s="17"/>
      <c r="AZ113" s="17"/>
      <c r="BA113" s="17"/>
      <c r="BB113" s="16"/>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6"/>
      <c r="BY113" s="16"/>
      <c r="BZ113" s="17"/>
      <c r="CA113" s="17"/>
      <c r="CB113" s="17"/>
      <c r="CC113" s="17"/>
      <c r="CD113" s="16"/>
      <c r="CE113" s="17"/>
      <c r="CF113" s="17"/>
      <c r="CG113" s="17"/>
      <c r="CH113" s="17"/>
      <c r="CI113" s="16"/>
      <c r="CJ113" s="17"/>
      <c r="CK113" s="17"/>
      <c r="CL113" s="17"/>
      <c r="CM113" s="17"/>
      <c r="CN113" s="17"/>
      <c r="CO113" s="17"/>
      <c r="CP113" s="17"/>
      <c r="CQ113" s="17"/>
      <c r="CR113" s="17"/>
      <c r="CS113" s="17"/>
      <c r="CT113" s="17"/>
      <c r="CU113" s="17"/>
      <c r="CV113" s="17"/>
      <c r="CW113" s="16"/>
      <c r="CX113" s="17"/>
      <c r="CY113" s="17"/>
      <c r="CZ113" s="17"/>
      <c r="DA113" s="17"/>
      <c r="DB113" s="17"/>
      <c r="DC113" s="17"/>
      <c r="DD113" s="17"/>
    </row>
    <row r="114" spans="1:108" ht="15" customHeight="1">
      <c r="A114" s="7"/>
      <c r="B114" s="17"/>
      <c r="C114" s="17"/>
      <c r="D114" s="17"/>
      <c r="E114" s="14"/>
      <c r="F114" s="14"/>
      <c r="G114" s="14"/>
      <c r="H114" s="14"/>
      <c r="I114" s="14"/>
      <c r="J114" s="14"/>
      <c r="K114" s="14"/>
      <c r="L114" s="14"/>
      <c r="M114" s="14"/>
      <c r="N114" s="14"/>
      <c r="O114" s="14"/>
      <c r="P114" s="14"/>
      <c r="Q114" s="14"/>
      <c r="R114" s="14"/>
      <c r="S114" s="14"/>
      <c r="T114" s="14"/>
      <c r="U114" s="14"/>
      <c r="V114" s="14"/>
      <c r="W114" s="14"/>
      <c r="X114" s="14"/>
      <c r="Y114" s="14"/>
      <c r="Z114" s="14"/>
      <c r="AA114" s="9"/>
      <c r="AB114" s="9"/>
      <c r="AC114" s="9"/>
      <c r="AD114" s="9"/>
      <c r="AE114" s="7"/>
      <c r="AF114" s="12"/>
      <c r="AG114" s="12"/>
      <c r="AH114" s="12"/>
      <c r="AI114" s="12"/>
      <c r="AJ114" s="7"/>
      <c r="AK114" s="17"/>
      <c r="AL114" s="17"/>
      <c r="AM114" s="17"/>
      <c r="AN114" s="17"/>
      <c r="AO114" s="17"/>
      <c r="AP114" s="17"/>
      <c r="AQ114" s="17"/>
      <c r="AR114" s="17"/>
      <c r="AS114" s="17"/>
      <c r="AT114" s="17"/>
      <c r="AU114" s="17"/>
      <c r="AV114" s="17"/>
      <c r="AW114" s="17"/>
      <c r="AX114" s="17"/>
      <c r="AY114" s="17"/>
      <c r="AZ114" s="17"/>
      <c r="BA114" s="17"/>
      <c r="BB114" s="16"/>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6"/>
      <c r="BY114" s="16"/>
      <c r="BZ114" s="17"/>
      <c r="CA114" s="17"/>
      <c r="CB114" s="17"/>
      <c r="CC114" s="17"/>
      <c r="CD114" s="17"/>
      <c r="CE114" s="17"/>
      <c r="CF114" s="17"/>
      <c r="CG114" s="17"/>
      <c r="CH114" s="17"/>
      <c r="CI114" s="16"/>
      <c r="CJ114" s="17"/>
      <c r="CK114" s="17"/>
      <c r="CL114" s="17"/>
      <c r="CM114" s="17"/>
      <c r="CN114" s="17"/>
      <c r="CO114" s="17"/>
      <c r="CP114" s="17"/>
      <c r="CQ114" s="17"/>
      <c r="CR114" s="17"/>
      <c r="CS114" s="17"/>
      <c r="CT114" s="17"/>
      <c r="CU114" s="17"/>
      <c r="CV114" s="17"/>
      <c r="CW114" s="17"/>
      <c r="CX114" s="17"/>
      <c r="CY114" s="17"/>
      <c r="CZ114" s="17"/>
      <c r="DA114" s="17"/>
      <c r="DB114" s="17"/>
      <c r="DC114" s="17"/>
      <c r="DD114" s="17"/>
    </row>
    <row r="115" spans="1:108" ht="15" customHeight="1">
      <c r="A115" s="7"/>
      <c r="B115" s="17"/>
      <c r="C115" s="17"/>
      <c r="D115" s="17"/>
      <c r="E115" s="14"/>
      <c r="F115" s="14"/>
      <c r="G115" s="14"/>
      <c r="H115" s="14"/>
      <c r="I115" s="14"/>
      <c r="J115" s="14"/>
      <c r="K115" s="14"/>
      <c r="L115" s="14"/>
      <c r="M115" s="14"/>
      <c r="N115" s="14"/>
      <c r="O115" s="14"/>
      <c r="P115" s="14"/>
      <c r="Q115" s="14"/>
      <c r="R115" s="14"/>
      <c r="S115" s="14"/>
      <c r="T115" s="14"/>
      <c r="U115" s="14"/>
      <c r="V115" s="14"/>
      <c r="W115" s="14"/>
      <c r="X115" s="14"/>
      <c r="Y115" s="14"/>
      <c r="Z115" s="14"/>
      <c r="AA115" s="9"/>
      <c r="AB115" s="9"/>
      <c r="AC115" s="9"/>
      <c r="AD115" s="9"/>
      <c r="AE115" s="12"/>
      <c r="AF115" s="12"/>
      <c r="AG115" s="12"/>
      <c r="AH115" s="12"/>
      <c r="AI115" s="12"/>
      <c r="AJ115" s="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6"/>
      <c r="BY115" s="16"/>
      <c r="BZ115" s="17"/>
      <c r="CA115" s="17"/>
      <c r="CB115" s="17"/>
      <c r="CC115" s="17"/>
      <c r="CD115" s="17"/>
      <c r="CE115" s="17"/>
      <c r="CF115" s="17"/>
      <c r="CG115" s="17"/>
      <c r="CH115" s="17"/>
      <c r="CI115" s="16"/>
      <c r="CJ115" s="17"/>
      <c r="CK115" s="17"/>
      <c r="CL115" s="17"/>
      <c r="CM115" s="17"/>
      <c r="CN115" s="17"/>
      <c r="CO115" s="17"/>
      <c r="CP115" s="17"/>
      <c r="CQ115" s="17"/>
      <c r="CR115" s="17"/>
      <c r="CS115" s="17"/>
      <c r="CT115" s="17"/>
      <c r="CU115" s="17"/>
      <c r="CV115" s="17"/>
      <c r="CW115" s="17"/>
      <c r="CX115" s="17"/>
      <c r="CY115" s="17"/>
      <c r="CZ115" s="17"/>
      <c r="DA115" s="17"/>
      <c r="DB115" s="17"/>
      <c r="DC115" s="17"/>
      <c r="DD115" s="17"/>
    </row>
  </sheetData>
  <dataConsolidate/>
  <mergeCells count="15">
    <mergeCell ref="CD3:CH3"/>
    <mergeCell ref="CI3:CP3"/>
    <mergeCell ref="CQ3:CV3"/>
    <mergeCell ref="CW3:DD3"/>
    <mergeCell ref="A2:AD3"/>
    <mergeCell ref="BB3:BE3"/>
    <mergeCell ref="BF3:BM3"/>
    <mergeCell ref="BN3:BR3"/>
    <mergeCell ref="BS3:BW3"/>
    <mergeCell ref="BX3:CC3"/>
    <mergeCell ref="AE2:DD2"/>
    <mergeCell ref="AE3:AI3"/>
    <mergeCell ref="AK3:AN3"/>
    <mergeCell ref="AO3:AT3"/>
    <mergeCell ref="AU3:BA3"/>
  </mergeCells>
  <phoneticPr fontId="7" type="noConversion"/>
  <dataValidations count="9">
    <dataValidation type="list" allowBlank="1" showInputMessage="1" showErrorMessage="1" sqref="D5:D48">
      <formula1>"hybrid catalyst, heterogeneous catalyst, homogeneous catalyst"</formula1>
    </dataValidation>
    <dataValidation type="list" allowBlank="1" showInputMessage="1" showErrorMessage="1" sqref="F101">
      <formula1>"co-precipitation, wet impregnation, incipient wetness impregnation, flame spray pyrolysis, dip coating, classic synthesis, solvothermal synthesis, deposition-precipitation, melting, sol-gel, grafting, ion-exchange"</formula1>
    </dataValidation>
    <dataValidation type="list" allowBlank="1" showInputMessage="1" showErrorMessage="1" sqref="AI5:AI115 AJ113:AJ114">
      <formula1>"yes, no, slurry"</formula1>
    </dataValidation>
    <dataValidation type="list" allowBlank="1" showInputMessage="1" showErrorMessage="1" sqref="CY5:CY100">
      <formula1>"big, medium, small"</formula1>
    </dataValidation>
    <dataValidation type="list" allowBlank="1" showInputMessage="1" showErrorMessage="1" sqref="BY5:BY100">
      <formula1>"incipient wetness impregnation, wet impregnation"</formula1>
    </dataValidation>
    <dataValidation type="list" allowBlank="1" showInputMessage="1" showErrorMessage="1" sqref="X5:X100">
      <formula1>"dopant, molecular modifier, ligand, other"</formula1>
    </dataValidation>
    <dataValidation type="list" allowBlank="1" showInputMessage="1" showErrorMessage="1" sqref="F49:F100 F5:F47">
      <formula1>"co-precipitation, wet impregnation, incipient wetness impregnation, flame spray pyrolysis, dip coating, classic synthesis, solvothermal synthesis, deposition-precipitation, melting, sol-gel, grafting, ion-exchange, organometallic synthesis"</formula1>
    </dataValidation>
    <dataValidation type="whole" allowBlank="1" showInputMessage="1" showErrorMessage="1" sqref="AE111:AE114">
      <formula1>1</formula1>
      <formula2>15</formula2>
    </dataValidation>
    <dataValidation type="list" allowBlank="1" showInputMessage="1" showErrorMessage="1" sqref="AE5:AE110 AJ5:AJ112 AO5:AO111 AU5:AU108 BB5:BB115 BF5:BF108 BN5:BN107 BS5:BS110 BX5:BX115 CD5:CD113 CI5:CI115 CQ5:CQ112 CW5:CW113">
      <formula1>"1, 2, 3, 4, 5, 6, 7, 8, 9, 10, 11, 12, 13, 14, 15"</formula1>
    </dataValidation>
  </dataValidations>
  <pageMargins left="0.7" right="0.7" top="0.78740157499999996" bottom="0.78740157499999996" header="0.3" footer="0.3"/>
  <pageSetup paperSize="9" orientation="portrait" r:id="rId1"/>
  <headerFooter>
    <oddFooter>&amp;C_x000D_&amp;1#&amp;"Calibri"&amp;10&amp;K000000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sqref="A1:D30"/>
    </sheetView>
  </sheetViews>
  <sheetFormatPr baseColWidth="10" defaultRowHeight="15"/>
  <cols>
    <col min="4" max="4" width="74.140625" customWidth="1"/>
  </cols>
  <sheetData>
    <row r="1" spans="1:4">
      <c r="A1" s="44" t="s">
        <v>271</v>
      </c>
      <c r="B1" s="45"/>
      <c r="C1" s="45"/>
      <c r="D1" s="45"/>
    </row>
    <row r="2" spans="1:4">
      <c r="A2" s="45"/>
      <c r="B2" s="45"/>
      <c r="C2" s="45"/>
      <c r="D2" s="45"/>
    </row>
    <row r="3" spans="1:4">
      <c r="A3" s="45"/>
      <c r="B3" s="45"/>
      <c r="C3" s="45"/>
      <c r="D3" s="45"/>
    </row>
    <row r="4" spans="1:4">
      <c r="A4" s="45"/>
      <c r="B4" s="45"/>
      <c r="C4" s="45"/>
      <c r="D4" s="45"/>
    </row>
    <row r="5" spans="1:4">
      <c r="A5" s="45"/>
      <c r="B5" s="45"/>
      <c r="C5" s="45"/>
      <c r="D5" s="45"/>
    </row>
    <row r="6" spans="1:4">
      <c r="A6" s="45"/>
      <c r="B6" s="45"/>
      <c r="C6" s="45"/>
      <c r="D6" s="45"/>
    </row>
    <row r="7" spans="1:4">
      <c r="A7" s="45"/>
      <c r="B7" s="45"/>
      <c r="C7" s="45"/>
      <c r="D7" s="45"/>
    </row>
    <row r="8" spans="1:4">
      <c r="A8" s="45"/>
      <c r="B8" s="45"/>
      <c r="C8" s="45"/>
      <c r="D8" s="45"/>
    </row>
    <row r="9" spans="1:4">
      <c r="A9" s="45"/>
      <c r="B9" s="45"/>
      <c r="C9" s="45"/>
      <c r="D9" s="45"/>
    </row>
    <row r="10" spans="1:4">
      <c r="A10" s="45"/>
      <c r="B10" s="45"/>
      <c r="C10" s="45"/>
      <c r="D10" s="45"/>
    </row>
    <row r="11" spans="1:4">
      <c r="A11" s="45"/>
      <c r="B11" s="45"/>
      <c r="C11" s="45"/>
      <c r="D11" s="45"/>
    </row>
    <row r="12" spans="1:4">
      <c r="A12" s="45"/>
      <c r="B12" s="45"/>
      <c r="C12" s="45"/>
      <c r="D12" s="45"/>
    </row>
    <row r="13" spans="1:4">
      <c r="A13" s="45"/>
      <c r="B13" s="45"/>
      <c r="C13" s="45"/>
      <c r="D13" s="45"/>
    </row>
    <row r="14" spans="1:4">
      <c r="A14" s="45"/>
      <c r="B14" s="45"/>
      <c r="C14" s="45"/>
      <c r="D14" s="45"/>
    </row>
    <row r="15" spans="1:4">
      <c r="A15" s="45"/>
      <c r="B15" s="45"/>
      <c r="C15" s="45"/>
      <c r="D15" s="45"/>
    </row>
    <row r="16" spans="1:4">
      <c r="A16" s="45"/>
      <c r="B16" s="45"/>
      <c r="C16" s="45"/>
      <c r="D16" s="45"/>
    </row>
    <row r="17" spans="1:4">
      <c r="A17" s="45"/>
      <c r="B17" s="45"/>
      <c r="C17" s="45"/>
      <c r="D17" s="45"/>
    </row>
    <row r="18" spans="1:4">
      <c r="A18" s="45"/>
      <c r="B18" s="45"/>
      <c r="C18" s="45"/>
      <c r="D18" s="45"/>
    </row>
    <row r="19" spans="1:4">
      <c r="A19" s="45"/>
      <c r="B19" s="45"/>
      <c r="C19" s="45"/>
      <c r="D19" s="45"/>
    </row>
    <row r="20" spans="1:4">
      <c r="A20" s="45"/>
      <c r="B20" s="45"/>
      <c r="C20" s="45"/>
      <c r="D20" s="45"/>
    </row>
    <row r="21" spans="1:4">
      <c r="A21" s="45"/>
      <c r="B21" s="45"/>
      <c r="C21" s="45"/>
      <c r="D21" s="45"/>
    </row>
    <row r="22" spans="1:4">
      <c r="A22" s="45"/>
      <c r="B22" s="45"/>
      <c r="C22" s="45"/>
      <c r="D22" s="45"/>
    </row>
    <row r="23" spans="1:4">
      <c r="A23" s="45"/>
      <c r="B23" s="45"/>
      <c r="C23" s="45"/>
      <c r="D23" s="45"/>
    </row>
    <row r="24" spans="1:4">
      <c r="A24" s="45"/>
      <c r="B24" s="45"/>
      <c r="C24" s="45"/>
      <c r="D24" s="45"/>
    </row>
    <row r="25" spans="1:4">
      <c r="A25" s="45"/>
      <c r="B25" s="45"/>
      <c r="C25" s="45"/>
      <c r="D25" s="45"/>
    </row>
    <row r="26" spans="1:4">
      <c r="A26" s="45"/>
      <c r="B26" s="45"/>
      <c r="C26" s="45"/>
      <c r="D26" s="45"/>
    </row>
    <row r="27" spans="1:4">
      <c r="A27" s="45"/>
      <c r="B27" s="45"/>
      <c r="C27" s="45"/>
      <c r="D27" s="45"/>
    </row>
    <row r="28" spans="1:4">
      <c r="A28" s="45"/>
      <c r="B28" s="45"/>
      <c r="C28" s="45"/>
      <c r="D28" s="45"/>
    </row>
    <row r="29" spans="1:4">
      <c r="A29" s="45"/>
      <c r="B29" s="45"/>
      <c r="C29" s="45"/>
      <c r="D29" s="45"/>
    </row>
    <row r="30" spans="1:4">
      <c r="A30" s="45"/>
      <c r="B30" s="45"/>
      <c r="C30" s="45"/>
      <c r="D30" s="45"/>
    </row>
  </sheetData>
  <mergeCells count="1">
    <mergeCell ref="A1:D30"/>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
  <sheetViews>
    <sheetView zoomScale="85" zoomScaleNormal="85" workbookViewId="0">
      <selection activeCell="C70" sqref="C70"/>
    </sheetView>
  </sheetViews>
  <sheetFormatPr baseColWidth="10" defaultRowHeight="15"/>
  <cols>
    <col min="1" max="1" width="28.28515625" bestFit="1" customWidth="1"/>
    <col min="2" max="2" width="39.28515625" bestFit="1" customWidth="1"/>
    <col min="3" max="3" width="24" bestFit="1" customWidth="1"/>
  </cols>
  <sheetData>
    <row r="1" spans="1:5">
      <c r="A1" t="s">
        <v>34</v>
      </c>
      <c r="B1" t="s">
        <v>35</v>
      </c>
      <c r="C1" t="s">
        <v>8</v>
      </c>
      <c r="D1" t="s">
        <v>129</v>
      </c>
      <c r="E1" t="s">
        <v>9</v>
      </c>
    </row>
    <row r="2" spans="1:5">
      <c r="A2" t="s">
        <v>47</v>
      </c>
    </row>
    <row r="3" spans="1:5">
      <c r="A3" t="s">
        <v>95</v>
      </c>
      <c r="B3" t="s">
        <v>114</v>
      </c>
    </row>
    <row r="4" spans="1:5">
      <c r="A4" t="s">
        <v>18</v>
      </c>
      <c r="C4" t="s">
        <v>93</v>
      </c>
    </row>
    <row r="5" spans="1:5">
      <c r="A5" t="s">
        <v>70</v>
      </c>
    </row>
    <row r="6" spans="1:5">
      <c r="A6" t="s">
        <v>30</v>
      </c>
      <c r="B6" t="s">
        <v>123</v>
      </c>
    </row>
    <row r="7" spans="1:5">
      <c r="A7" t="s">
        <v>65</v>
      </c>
      <c r="B7" t="s">
        <v>112</v>
      </c>
    </row>
    <row r="8" spans="1:5">
      <c r="A8" t="s">
        <v>63</v>
      </c>
      <c r="B8" t="s">
        <v>110</v>
      </c>
    </row>
    <row r="9" spans="1:5">
      <c r="A9" t="s">
        <v>61</v>
      </c>
      <c r="B9" t="s">
        <v>108</v>
      </c>
    </row>
    <row r="10" spans="1:5">
      <c r="A10" t="s">
        <v>60</v>
      </c>
      <c r="B10" t="s">
        <v>107</v>
      </c>
    </row>
    <row r="11" spans="1:5">
      <c r="A11" t="s">
        <v>64</v>
      </c>
      <c r="B11" t="s">
        <v>111</v>
      </c>
    </row>
    <row r="12" spans="1:5">
      <c r="A12" t="s">
        <v>62</v>
      </c>
      <c r="B12" t="s">
        <v>109</v>
      </c>
    </row>
    <row r="13" spans="1:5">
      <c r="A13" t="s">
        <v>59</v>
      </c>
      <c r="B13" t="s">
        <v>106</v>
      </c>
    </row>
    <row r="14" spans="1:5">
      <c r="A14" t="s">
        <v>16</v>
      </c>
      <c r="D14" s="22" t="s">
        <v>131</v>
      </c>
    </row>
    <row r="15" spans="1:5">
      <c r="A15" t="s">
        <v>138</v>
      </c>
      <c r="B15" t="s">
        <v>139</v>
      </c>
    </row>
    <row r="16" spans="1:5">
      <c r="A16" t="s">
        <v>15</v>
      </c>
      <c r="B16" t="s">
        <v>37</v>
      </c>
    </row>
    <row r="17" spans="1:5">
      <c r="A17" t="s">
        <v>54</v>
      </c>
    </row>
    <row r="18" spans="1:5">
      <c r="A18" t="s">
        <v>235</v>
      </c>
      <c r="D18" t="s">
        <v>234</v>
      </c>
    </row>
    <row r="19" spans="1:5">
      <c r="A19" t="s">
        <v>76</v>
      </c>
    </row>
    <row r="20" spans="1:5">
      <c r="A20" t="s">
        <v>56</v>
      </c>
      <c r="B20" t="s">
        <v>127</v>
      </c>
    </row>
    <row r="21" spans="1:5">
      <c r="A21" t="s">
        <v>71</v>
      </c>
      <c r="B21" t="s">
        <v>84</v>
      </c>
    </row>
    <row r="22" spans="1:5">
      <c r="A22" t="s">
        <v>32</v>
      </c>
    </row>
    <row r="23" spans="1:5">
      <c r="A23" t="s">
        <v>78</v>
      </c>
      <c r="B23" t="s">
        <v>83</v>
      </c>
    </row>
    <row r="24" spans="1:5">
      <c r="A24" t="s">
        <v>27</v>
      </c>
      <c r="D24" t="s">
        <v>132</v>
      </c>
    </row>
    <row r="25" spans="1:5">
      <c r="A25" t="s">
        <v>33</v>
      </c>
      <c r="B25" t="s">
        <v>120</v>
      </c>
    </row>
    <row r="26" spans="1:5">
      <c r="A26" t="s">
        <v>75</v>
      </c>
      <c r="B26" t="s">
        <v>87</v>
      </c>
    </row>
    <row r="27" spans="1:5">
      <c r="A27" t="s">
        <v>29</v>
      </c>
      <c r="B27" t="s">
        <v>122</v>
      </c>
    </row>
    <row r="28" spans="1:5">
      <c r="A28" t="s">
        <v>50</v>
      </c>
      <c r="D28" t="s">
        <v>136</v>
      </c>
      <c r="E28" t="s">
        <v>135</v>
      </c>
    </row>
    <row r="29" spans="1:5">
      <c r="A29" t="s">
        <v>21</v>
      </c>
      <c r="B29" t="s">
        <v>119</v>
      </c>
    </row>
    <row r="30" spans="1:5">
      <c r="A30" t="s">
        <v>53</v>
      </c>
    </row>
    <row r="31" spans="1:5">
      <c r="A31" t="s">
        <v>74</v>
      </c>
      <c r="B31" t="s">
        <v>86</v>
      </c>
    </row>
    <row r="32" spans="1:5">
      <c r="A32" t="s">
        <v>236</v>
      </c>
      <c r="D32" t="s">
        <v>234</v>
      </c>
    </row>
    <row r="33" spans="1:4">
      <c r="A33" s="18" t="s">
        <v>81</v>
      </c>
    </row>
    <row r="34" spans="1:4">
      <c r="A34" t="s">
        <v>13</v>
      </c>
      <c r="B34" t="s">
        <v>92</v>
      </c>
    </row>
    <row r="35" spans="1:4">
      <c r="A35" t="s">
        <v>12</v>
      </c>
      <c r="B35" t="s">
        <v>91</v>
      </c>
    </row>
    <row r="36" spans="1:4">
      <c r="A36" t="s">
        <v>11</v>
      </c>
      <c r="B36" t="s">
        <v>90</v>
      </c>
    </row>
    <row r="37" spans="1:4">
      <c r="A37" t="s">
        <v>23</v>
      </c>
      <c r="B37" t="s">
        <v>121</v>
      </c>
    </row>
    <row r="38" spans="1:4">
      <c r="A38" t="s">
        <v>73</v>
      </c>
      <c r="B38" t="s">
        <v>85</v>
      </c>
    </row>
    <row r="39" spans="1:4">
      <c r="A39" t="s">
        <v>241</v>
      </c>
      <c r="D39" t="s">
        <v>234</v>
      </c>
    </row>
    <row r="40" spans="1:4">
      <c r="A40" t="s">
        <v>14</v>
      </c>
      <c r="B40" t="s">
        <v>36</v>
      </c>
    </row>
    <row r="41" spans="1:4">
      <c r="A41" s="18" t="s">
        <v>82</v>
      </c>
    </row>
    <row r="42" spans="1:4">
      <c r="A42" s="18" t="s">
        <v>79</v>
      </c>
    </row>
    <row r="43" spans="1:4">
      <c r="A43" t="s">
        <v>4</v>
      </c>
    </row>
    <row r="44" spans="1:4">
      <c r="A44" t="s">
        <v>5</v>
      </c>
      <c r="B44" t="s">
        <v>96</v>
      </c>
    </row>
    <row r="45" spans="1:4">
      <c r="A45" t="s">
        <v>19</v>
      </c>
      <c r="B45" t="s">
        <v>117</v>
      </c>
    </row>
    <row r="46" spans="1:4">
      <c r="A46" t="s">
        <v>42</v>
      </c>
      <c r="B46" t="s">
        <v>103</v>
      </c>
    </row>
    <row r="47" spans="1:4">
      <c r="A47" t="s">
        <v>46</v>
      </c>
      <c r="B47" t="s">
        <v>105</v>
      </c>
    </row>
    <row r="48" spans="1:4">
      <c r="A48" t="s">
        <v>45</v>
      </c>
      <c r="B48" t="s">
        <v>104</v>
      </c>
    </row>
    <row r="49" spans="1:5">
      <c r="A49" t="s">
        <v>26</v>
      </c>
      <c r="B49" t="s">
        <v>116</v>
      </c>
    </row>
    <row r="50" spans="1:5">
      <c r="A50" t="s">
        <v>101</v>
      </c>
      <c r="B50" t="s">
        <v>102</v>
      </c>
    </row>
    <row r="51" spans="1:5">
      <c r="A51" t="s">
        <v>6</v>
      </c>
      <c r="D51" t="s">
        <v>133</v>
      </c>
      <c r="E51" t="s">
        <v>134</v>
      </c>
    </row>
    <row r="52" spans="1:5">
      <c r="A52" t="s">
        <v>1</v>
      </c>
    </row>
    <row r="53" spans="1:5">
      <c r="A53" t="s">
        <v>55</v>
      </c>
    </row>
    <row r="54" spans="1:5">
      <c r="A54" t="s">
        <v>89</v>
      </c>
    </row>
    <row r="55" spans="1:5">
      <c r="A55" t="s">
        <v>69</v>
      </c>
    </row>
    <row r="56" spans="1:5">
      <c r="A56" t="s">
        <v>31</v>
      </c>
      <c r="B56" t="s">
        <v>125</v>
      </c>
    </row>
    <row r="57" spans="1:5">
      <c r="A57" t="s">
        <v>20</v>
      </c>
      <c r="B57" t="s">
        <v>118</v>
      </c>
    </row>
    <row r="58" spans="1:5">
      <c r="A58" t="s">
        <v>238</v>
      </c>
      <c r="C58" t="s">
        <v>94</v>
      </c>
    </row>
    <row r="59" spans="1:5">
      <c r="A59" t="s">
        <v>237</v>
      </c>
      <c r="D59" t="s">
        <v>234</v>
      </c>
    </row>
    <row r="60" spans="1:5">
      <c r="A60" t="s">
        <v>10</v>
      </c>
      <c r="B60" t="s">
        <v>38</v>
      </c>
    </row>
    <row r="61" spans="1:5">
      <c r="A61" t="s">
        <v>67</v>
      </c>
      <c r="D61" t="s">
        <v>141</v>
      </c>
    </row>
    <row r="62" spans="1:5">
      <c r="A62" t="s">
        <v>52</v>
      </c>
    </row>
    <row r="63" spans="1:5">
      <c r="A63" t="s">
        <v>137</v>
      </c>
      <c r="B63" t="s">
        <v>140</v>
      </c>
    </row>
    <row r="64" spans="1:5">
      <c r="A64" t="s">
        <v>66</v>
      </c>
      <c r="B64" t="s">
        <v>113</v>
      </c>
    </row>
    <row r="65" spans="1:4">
      <c r="A65" t="s">
        <v>24</v>
      </c>
      <c r="B65" t="s">
        <v>124</v>
      </c>
    </row>
    <row r="66" spans="1:4">
      <c r="A66" t="s">
        <v>44</v>
      </c>
    </row>
    <row r="67" spans="1:4">
      <c r="A67" s="18" t="s">
        <v>80</v>
      </c>
    </row>
    <row r="68" spans="1:4">
      <c r="A68" t="s">
        <v>28</v>
      </c>
      <c r="B68" t="s">
        <v>97</v>
      </c>
    </row>
    <row r="69" spans="1:4">
      <c r="A69" t="s">
        <v>25</v>
      </c>
      <c r="B69" t="s">
        <v>115</v>
      </c>
    </row>
    <row r="70" spans="1:4">
      <c r="A70" t="s">
        <v>51</v>
      </c>
      <c r="C70" t="s">
        <v>128</v>
      </c>
    </row>
    <row r="71" spans="1:4">
      <c r="A71" t="s">
        <v>239</v>
      </c>
      <c r="D71" t="s">
        <v>234</v>
      </c>
    </row>
    <row r="72" spans="1:4">
      <c r="A72" t="s">
        <v>240</v>
      </c>
      <c r="C72" t="s">
        <v>128</v>
      </c>
    </row>
    <row r="73" spans="1:4">
      <c r="A73" t="s">
        <v>77</v>
      </c>
      <c r="B73" t="s">
        <v>88</v>
      </c>
    </row>
    <row r="74" spans="1:4">
      <c r="A74" t="s">
        <v>68</v>
      </c>
    </row>
    <row r="75" spans="1:4">
      <c r="A75" t="s">
        <v>40</v>
      </c>
      <c r="B75" t="s">
        <v>100</v>
      </c>
    </row>
    <row r="76" spans="1:4">
      <c r="A76" t="s">
        <v>40</v>
      </c>
      <c r="B76" t="s">
        <v>100</v>
      </c>
    </row>
    <row r="77" spans="1:4">
      <c r="A77" t="s">
        <v>98</v>
      </c>
      <c r="B77" t="s">
        <v>99</v>
      </c>
    </row>
    <row r="78" spans="1:4" ht="12.6" customHeight="1">
      <c r="A78" t="s">
        <v>2</v>
      </c>
      <c r="B78" s="21" t="s">
        <v>39</v>
      </c>
    </row>
    <row r="79" spans="1:4">
      <c r="A79" t="s">
        <v>3</v>
      </c>
      <c r="D79" s="22" t="s">
        <v>131</v>
      </c>
    </row>
    <row r="80" spans="1:4">
      <c r="A80" t="s">
        <v>162</v>
      </c>
      <c r="D80" t="s">
        <v>234</v>
      </c>
    </row>
    <row r="81" spans="1:4">
      <c r="A81" t="s">
        <v>17</v>
      </c>
    </row>
    <row r="82" spans="1:4">
      <c r="A82" t="s">
        <v>41</v>
      </c>
      <c r="B82" t="s">
        <v>126</v>
      </c>
    </row>
    <row r="83" spans="1:4">
      <c r="A83" t="s">
        <v>244</v>
      </c>
      <c r="B83" t="s">
        <v>245</v>
      </c>
    </row>
    <row r="84" spans="1:4">
      <c r="A84" t="s">
        <v>48</v>
      </c>
    </row>
    <row r="85" spans="1:4">
      <c r="A85" t="s">
        <v>49</v>
      </c>
      <c r="D85" t="s">
        <v>130</v>
      </c>
    </row>
    <row r="86" spans="1:4">
      <c r="A86" t="s">
        <v>58</v>
      </c>
    </row>
    <row r="87" spans="1:4">
      <c r="A87" t="s">
        <v>43</v>
      </c>
    </row>
    <row r="88" spans="1:4">
      <c r="A88" t="s">
        <v>57</v>
      </c>
    </row>
    <row r="89" spans="1:4">
      <c r="A89" t="s">
        <v>22</v>
      </c>
    </row>
    <row r="90" spans="1:4">
      <c r="A90" t="s">
        <v>72</v>
      </c>
    </row>
    <row r="91" spans="1:4">
      <c r="A91" t="s">
        <v>246</v>
      </c>
    </row>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204EB0D0CEA84C8A04BF391B12285B" ma:contentTypeVersion="9" ma:contentTypeDescription="Create a new document." ma:contentTypeScope="" ma:versionID="0006a74ec575ba8cdecde4b21a2d0e69">
  <xsd:schema xmlns:xsd="http://www.w3.org/2001/XMLSchema" xmlns:xs="http://www.w3.org/2001/XMLSchema" xmlns:p="http://schemas.microsoft.com/office/2006/metadata/properties" xmlns:ns2="5dfce028-1d80-454e-8154-f052e866485a" xmlns:ns3="521d7225-201a-472c-a408-3487f0d614d7" targetNamespace="http://schemas.microsoft.com/office/2006/metadata/properties" ma:root="true" ma:fieldsID="c19cb4f2dd3fda0f6e817244f8c4f7d8" ns2:_="" ns3:_="">
    <xsd:import namespace="5dfce028-1d80-454e-8154-f052e866485a"/>
    <xsd:import namespace="521d7225-201a-472c-a408-3487f0d614d7"/>
    <xsd:element name="properties">
      <xsd:complexType>
        <xsd:sequence>
          <xsd:element name="documentManagement">
            <xsd:complexType>
              <xsd:all>
                <xsd:element ref="ns2:prv_Category_Choice" minOccurs="0"/>
                <xsd:element ref="ns3:prv_Description" minOccurs="0"/>
                <xsd:element ref="ns3:prv_Responsible" minOccurs="0"/>
                <xsd:element ref="ns3:MediaServiceMetadata" minOccurs="0"/>
                <xsd:element ref="ns3:MediaServiceFastMetadata" minOccurs="0"/>
                <xsd:element ref="ns3:MediaServiceObjectDetectorVersions" minOccurs="0"/>
                <xsd:element ref="ns3:MediaServiceSearchPropertie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fce028-1d80-454e-8154-f052e866485a" elementFormDefault="qualified">
    <xsd:import namespace="http://schemas.microsoft.com/office/2006/documentManagement/types"/>
    <xsd:import namespace="http://schemas.microsoft.com/office/infopath/2007/PartnerControls"/>
    <xsd:element name="prv_Category_Choice" ma:index="8" nillable="true" ma:displayName="Category" ma:internalName="prv_Category_Choice">
      <xsd:simpleType>
        <xsd:restriction base="dms:Choice">
          <xsd:enumeration value="Development"/>
          <xsd:enumeration value="Product"/>
          <xsd:enumeration value="Project"/>
        </xsd:restrictio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1d7225-201a-472c-a408-3487f0d614d7" elementFormDefault="qualified">
    <xsd:import namespace="http://schemas.microsoft.com/office/2006/documentManagement/types"/>
    <xsd:import namespace="http://schemas.microsoft.com/office/infopath/2007/PartnerControls"/>
    <xsd:element name="prv_Description" ma:index="9" nillable="true" ma:displayName="Description" ma:internalName="prv_Description" ma:readOnly="false">
      <xsd:simpleType>
        <xsd:restriction base="dms:Note">
          <xsd:maxLength value="255"/>
        </xsd:restriction>
      </xsd:simpleType>
    </xsd:element>
    <xsd:element name="prv_Responsible" ma:index="10" nillable="true" ma:displayName="Responsible" ma:internalName="prv_Responsible"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v_Responsible xmlns="521d7225-201a-472c-a408-3487f0d614d7">
      <UserInfo>
        <DisplayName/>
        <AccountId xsi:nil="true"/>
        <AccountType/>
      </UserInfo>
    </prv_Responsible>
    <prv_Category_Choice xmlns="5dfce028-1d80-454e-8154-f052e866485a" xsi:nil="true"/>
    <prv_Description xmlns="521d7225-201a-472c-a408-3487f0d614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38CCE7-1108-4180-BE75-A60E6AFC9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fce028-1d80-454e-8154-f052e866485a"/>
    <ds:schemaRef ds:uri="521d7225-201a-472c-a408-3487f0d614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364F3D-6B45-4B9C-B12E-97DB3003236E}">
  <ds:schemaRefs>
    <ds:schemaRef ds:uri="http://schemas.microsoft.com/office/2006/metadata/properties"/>
    <ds:schemaRef ds:uri="http://schemas.microsoft.com/office/infopath/2007/PartnerControls"/>
    <ds:schemaRef ds:uri="521d7225-201a-472c-a408-3487f0d614d7"/>
    <ds:schemaRef ds:uri="5dfce028-1d80-454e-8154-f052e866485a"/>
  </ds:schemaRefs>
</ds:datastoreItem>
</file>

<file path=customXml/itemProps3.xml><?xml version="1.0" encoding="utf-8"?>
<ds:datastoreItem xmlns:ds="http://schemas.openxmlformats.org/officeDocument/2006/customXml" ds:itemID="{03699753-00F4-4DA6-8C63-D9BF8C2AB3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Catalysts general</vt:lpstr>
      <vt:lpstr>Catalysts precise</vt:lpstr>
      <vt:lpstr>explanation</vt:lpstr>
      <vt:lpstr>Relations Voc4Cat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Hanf, Schirin (AOC)</dc:creator>
  <cp:keywords/>
  <dc:description/>
  <cp:lastModifiedBy>Arjun</cp:lastModifiedBy>
  <cp:revision/>
  <dcterms:created xsi:type="dcterms:W3CDTF">2024-07-30T09:39:58Z</dcterms:created>
  <dcterms:modified xsi:type="dcterms:W3CDTF">2025-10-27T07:05:08Z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0x01010046204EB0D0CEA84C8A04BF391B12285B</vt:lpwstr>
  </property>
  <property fmtid="{D5CDD505-2E9C-101B-9397-08002B2CF9AE}" pid="3" name="MSIP_Label_06530cf4-8573-4c29-a912-bbcdac835909_Enabled">
    <vt:lpwstr>true</vt:lpwstr>
  </property>
  <property fmtid="{D5CDD505-2E9C-101B-9397-08002B2CF9AE}" pid="4" name="MSIP_Label_06530cf4-8573-4c29-a912-bbcdac835909_SetDate">
    <vt:lpwstr>2024-09-03T07:32:45Z</vt:lpwstr>
  </property>
  <property fmtid="{D5CDD505-2E9C-101B-9397-08002B2CF9AE}" pid="5" name="MSIP_Label_06530cf4-8573-4c29-a912-bbcdac835909_Method">
    <vt:lpwstr>Standard</vt:lpwstr>
  </property>
  <property fmtid="{D5CDD505-2E9C-101B-9397-08002B2CF9AE}" pid="6" name="MSIP_Label_06530cf4-8573-4c29-a912-bbcdac835909_Name">
    <vt:lpwstr>06530cf4-8573-4c29-a912-bbcdac835909</vt:lpwstr>
  </property>
  <property fmtid="{D5CDD505-2E9C-101B-9397-08002B2CF9AE}" pid="7" name="MSIP_Label_06530cf4-8573-4c29-a912-bbcdac835909_SiteId">
    <vt:lpwstr>ecaa386b-c8df-4ce0-ad01-740cbdb5ba55</vt:lpwstr>
  </property>
  <property fmtid="{D5CDD505-2E9C-101B-9397-08002B2CF9AE}" pid="8" name="MSIP_Label_06530cf4-8573-4c29-a912-bbcdac835909_ActionId">
    <vt:lpwstr>44ea98ff-6713-4eea-b69c-47f79f24fe77</vt:lpwstr>
  </property>
  <property fmtid="{D5CDD505-2E9C-101B-9397-08002B2CF9AE}" pid="9" name="MSIP_Label_06530cf4-8573-4c29-a912-bbcdac835909_ContentBits">
    <vt:lpwstr>2</vt:lpwstr>
  </property>
</Properties>
</file>